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uctr\Box\AAPTP_P401 Gradation Bands\Data Analysis\Gradation vs VMA\"/>
    </mc:Choice>
  </mc:AlternateContent>
  <xr:revisionPtr revIDLastSave="0" documentId="13_ncr:1_{17E36A06-C91B-40EA-B07E-777940584A46}" xr6:coauthVersionLast="47" xr6:coauthVersionMax="47" xr10:uidLastSave="{00000000-0000-0000-0000-000000000000}"/>
  <bookViews>
    <workbookView xWindow="28680" yWindow="-120" windowWidth="29040" windowHeight="15720" firstSheet="3" activeTab="9" xr2:uid="{7C9E031E-AE0B-4EB0-A3E7-40945EBE07EB}"/>
  </bookViews>
  <sheets>
    <sheet name="VMA-First Model" sheetId="1" r:id="rId1"/>
    <sheet name="VMA-First Model (No FAA))" sheetId="49" r:id="rId2"/>
    <sheet name="VMA-Second Model" sheetId="45" r:id="rId3"/>
    <sheet name="VMA-Second Model (No FAA)" sheetId="50" r:id="rId4"/>
    <sheet name="Rut Depth" sheetId="46" r:id="rId5"/>
    <sheet name="Rut Depth (No FAA)" sheetId="51" r:id="rId6"/>
    <sheet name="CTIndex" sheetId="47" r:id="rId7"/>
    <sheet name="CTIndex (No FAA)" sheetId="52" r:id="rId8"/>
    <sheet name="IFIT" sheetId="48" r:id="rId9"/>
    <sheet name="IFIT (No FAA)" sheetId="53" r:id="rId10"/>
  </sheets>
  <externalReferences>
    <externalReference r:id="rId11"/>
  </externalReferences>
  <definedNames>
    <definedName name="_xleta.ABS" hidden="1" xlm="1">#NAME?</definedName>
    <definedName name="FAcRatioMax">[1]Main!$H$184</definedName>
    <definedName name="FAcRatioMin">[1]Main!$G$184</definedName>
    <definedName name="FAfRatioMax">[1]Main!$H$185</definedName>
    <definedName name="FAfRatioMin">[1]Main!$G$185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53" l="1"/>
  <c r="C15" i="1"/>
  <c r="B13" i="1"/>
  <c r="B12" i="1"/>
  <c r="L15" i="53"/>
  <c r="K15" i="53"/>
  <c r="J15" i="53"/>
  <c r="I15" i="53"/>
  <c r="H15" i="53"/>
  <c r="G15" i="53"/>
  <c r="F15" i="53"/>
  <c r="E15" i="53"/>
  <c r="D15" i="53"/>
  <c r="B15" i="53"/>
  <c r="L15" i="52"/>
  <c r="K15" i="52"/>
  <c r="J15" i="52"/>
  <c r="I15" i="52"/>
  <c r="H15" i="52"/>
  <c r="G15" i="52"/>
  <c r="F15" i="52"/>
  <c r="E15" i="52"/>
  <c r="D15" i="52"/>
  <c r="C15" i="52"/>
  <c r="B15" i="52"/>
  <c r="L15" i="51"/>
  <c r="K15" i="51"/>
  <c r="J15" i="51"/>
  <c r="I15" i="51"/>
  <c r="H15" i="51"/>
  <c r="G15" i="51"/>
  <c r="F15" i="51"/>
  <c r="E15" i="51"/>
  <c r="D15" i="51"/>
  <c r="C15" i="51"/>
  <c r="B15" i="51"/>
  <c r="G15" i="50"/>
  <c r="F15" i="50"/>
  <c r="E15" i="50"/>
  <c r="D15" i="50"/>
  <c r="C15" i="50"/>
  <c r="L15" i="49"/>
  <c r="K15" i="49"/>
  <c r="J15" i="49"/>
  <c r="I15" i="49"/>
  <c r="H15" i="49"/>
  <c r="G15" i="49"/>
  <c r="F15" i="49"/>
  <c r="E15" i="49"/>
  <c r="D15" i="49"/>
  <c r="C15" i="49"/>
  <c r="L13" i="49"/>
  <c r="K13" i="49"/>
  <c r="J13" i="49"/>
  <c r="I13" i="49"/>
  <c r="H13" i="49"/>
  <c r="G13" i="49"/>
  <c r="F13" i="49"/>
  <c r="E13" i="49"/>
  <c r="D13" i="49"/>
  <c r="C13" i="49"/>
  <c r="B13" i="49"/>
  <c r="L12" i="49"/>
  <c r="K12" i="49"/>
  <c r="J12" i="49"/>
  <c r="I12" i="49"/>
  <c r="H12" i="49"/>
  <c r="G12" i="49"/>
  <c r="F12" i="49"/>
  <c r="E12" i="49"/>
  <c r="D12" i="49"/>
  <c r="C12" i="49"/>
  <c r="B12" i="49"/>
  <c r="L15" i="48"/>
  <c r="K15" i="48"/>
  <c r="J15" i="48"/>
  <c r="I15" i="48"/>
  <c r="H15" i="48"/>
  <c r="G15" i="48"/>
  <c r="F15" i="48"/>
  <c r="E15" i="48"/>
  <c r="D15" i="48"/>
  <c r="C15" i="48"/>
  <c r="B15" i="48"/>
  <c r="C15" i="47" l="1"/>
  <c r="B15" i="47"/>
  <c r="L15" i="47"/>
  <c r="K15" i="47"/>
  <c r="J15" i="47"/>
  <c r="I15" i="47"/>
  <c r="H15" i="47"/>
  <c r="G15" i="47"/>
  <c r="F15" i="47"/>
  <c r="E15" i="47"/>
  <c r="D15" i="47"/>
  <c r="L15" i="46" l="1"/>
  <c r="K15" i="46"/>
  <c r="J15" i="46"/>
  <c r="I15" i="46"/>
  <c r="H15" i="46"/>
  <c r="G15" i="46"/>
  <c r="F15" i="46"/>
  <c r="E15" i="46"/>
  <c r="D15" i="46"/>
  <c r="C15" i="46"/>
  <c r="B15" i="46"/>
  <c r="C15" i="45" l="1"/>
  <c r="L15" i="45"/>
  <c r="K15" i="45"/>
  <c r="J15" i="45"/>
  <c r="I15" i="45"/>
  <c r="H15" i="45"/>
  <c r="G15" i="45"/>
  <c r="F15" i="45"/>
  <c r="E15" i="45"/>
  <c r="D15" i="45"/>
  <c r="D15" i="1"/>
  <c r="L13" i="1"/>
  <c r="C13" i="1"/>
  <c r="D13" i="1"/>
  <c r="E13" i="1"/>
  <c r="F13" i="1"/>
  <c r="G13" i="1"/>
  <c r="H13" i="1"/>
  <c r="I13" i="1"/>
  <c r="J13" i="1"/>
  <c r="K13" i="1"/>
  <c r="C12" i="1"/>
  <c r="D12" i="1"/>
  <c r="E12" i="1"/>
  <c r="F12" i="1"/>
  <c r="G12" i="1"/>
  <c r="H12" i="1"/>
  <c r="I12" i="1"/>
  <c r="J12" i="1"/>
  <c r="K12" i="1"/>
  <c r="L12" i="1"/>
  <c r="H15" i="1" l="1"/>
  <c r="E15" i="1" l="1"/>
  <c r="F15" i="1"/>
  <c r="G15" i="1"/>
  <c r="J15" i="1"/>
  <c r="K15" i="1"/>
  <c r="L15" i="1"/>
  <c r="I15" i="1"/>
</calcChain>
</file>

<file path=xl/sharedStrings.xml><?xml version="1.0" encoding="utf-8"?>
<sst xmlns="http://schemas.openxmlformats.org/spreadsheetml/2006/main" count="345" uniqueCount="46">
  <si>
    <t>Sieve Size</t>
  </si>
  <si>
    <t>Trial 1</t>
  </si>
  <si>
    <t>Trial 2</t>
  </si>
  <si>
    <t>Trial 3</t>
  </si>
  <si>
    <t>Trial 4</t>
  </si>
  <si>
    <t>Trial 5</t>
  </si>
  <si>
    <t>Trial 6</t>
  </si>
  <si>
    <t>3/4 in</t>
  </si>
  <si>
    <t>1/2 in</t>
  </si>
  <si>
    <t xml:space="preserve"> 3/8 in</t>
  </si>
  <si>
    <t>No.4</t>
  </si>
  <si>
    <t>No.8</t>
  </si>
  <si>
    <t>No.16</t>
  </si>
  <si>
    <t>No.30</t>
  </si>
  <si>
    <t>No.50</t>
  </si>
  <si>
    <t>No.100</t>
  </si>
  <si>
    <t>No.200</t>
  </si>
  <si>
    <t>Measured VMA (%)</t>
  </si>
  <si>
    <t>Estimated VMA (%)</t>
  </si>
  <si>
    <t>Intercept</t>
  </si>
  <si>
    <t>New CA ratio</t>
  </si>
  <si>
    <t>New FAC ratio</t>
  </si>
  <si>
    <t>Trial 7</t>
  </si>
  <si>
    <t>Trial 8</t>
  </si>
  <si>
    <t>Trial 9</t>
  </si>
  <si>
    <t>Trial 10</t>
  </si>
  <si>
    <t>Trial 11</t>
  </si>
  <si>
    <t>Gsb</t>
  </si>
  <si>
    <t>FAA (Method A- AASHTO T304)</t>
  </si>
  <si>
    <t>Measured Rut depth</t>
  </si>
  <si>
    <t>Estimated Rut depth</t>
  </si>
  <si>
    <t>Measured CTIndex</t>
  </si>
  <si>
    <t>Estimated CTIndex</t>
  </si>
  <si>
    <t>Measured FI</t>
  </si>
  <si>
    <t>Estimated FI</t>
  </si>
  <si>
    <t>Coefficients</t>
  </si>
  <si>
    <t>Term</t>
  </si>
  <si>
    <t>Coef</t>
  </si>
  <si>
    <t>SE Coef</t>
  </si>
  <si>
    <t>T-Value</t>
  </si>
  <si>
    <t>P-Value</t>
  </si>
  <si>
    <t>VIF</t>
  </si>
  <si>
    <t>Constant</t>
  </si>
  <si>
    <t xml:space="preserve"> </t>
  </si>
  <si>
    <t>No. 1/2</t>
  </si>
  <si>
    <t>No.3/8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</si>
</sst>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"/>
    <numFmt numFmtId="166" formatCode="0.0000"/>
    <numFmt numFmtId="167" formatCode="0.00000"/>
  </numFmts>
  <fonts count="8" x14ac:knownFonts="1">
    <font>
      <sz val="11"/>
      <color theme="1"/>
      <name val="Aptos Narrow"/>
      <family val="2"/>
      <scheme val="minor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rgb="FF000000"/>
      <name val="Times New Roman"/>
      <family val="1"/>
    </font>
    <font>
      <sz val="8"/>
      <name val="Aptos Narrow"/>
      <family val="2"/>
      <scheme val="minor"/>
    </font>
    <font>
      <sz val="11"/>
      <color theme="1"/>
      <name val="Times New Roman"/>
      <family val="1"/>
    </font>
    <font>
      <sz val="11"/>
      <name val="Times New Roman"/>
      <family val="1"/>
    </font>
    <font>
      <b/>
      <sz val="11"/>
      <color rgb="FF00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rgb="FFA6C9EC"/>
        <bgColor rgb="FF000000"/>
      </patternFill>
    </fill>
    <fill>
      <patternFill patternType="solid">
        <fgColor rgb="FFE49EDD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4D93D9"/>
        <bgColor rgb="FF000000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8ED973"/>
        <bgColor rgb="FF000000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1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1" fontId="3" fillId="2" borderId="1" xfId="0" applyNumberFormat="1" applyFont="1" applyFill="1" applyBorder="1" applyAlignment="1">
      <alignment horizontal="center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165" fontId="2" fillId="4" borderId="1" xfId="0" applyNumberFormat="1" applyFont="1" applyFill="1" applyBorder="1" applyAlignment="1">
      <alignment horizontal="center" wrapText="1"/>
    </xf>
    <xf numFmtId="164" fontId="2" fillId="4" borderId="1" xfId="0" applyNumberFormat="1" applyFont="1" applyFill="1" applyBorder="1" applyAlignment="1">
      <alignment horizontal="center" wrapText="1"/>
    </xf>
    <xf numFmtId="166" fontId="2" fillId="4" borderId="1" xfId="0" applyNumberFormat="1" applyFont="1" applyFill="1" applyBorder="1" applyAlignment="1">
      <alignment horizontal="center" wrapText="1"/>
    </xf>
    <xf numFmtId="167" fontId="2" fillId="4" borderId="1" xfId="0" applyNumberFormat="1" applyFont="1" applyFill="1" applyBorder="1" applyAlignment="1">
      <alignment horizontal="center" wrapText="1"/>
    </xf>
    <xf numFmtId="164" fontId="3" fillId="2" borderId="2" xfId="0" applyNumberFormat="1" applyFont="1" applyFill="1" applyBorder="1" applyAlignment="1">
      <alignment horizontal="center" vertical="center"/>
    </xf>
    <xf numFmtId="1" fontId="3" fillId="2" borderId="2" xfId="0" applyNumberFormat="1" applyFont="1" applyFill="1" applyBorder="1" applyAlignment="1">
      <alignment horizontal="center" vertical="center"/>
    </xf>
    <xf numFmtId="1" fontId="3" fillId="2" borderId="3" xfId="0" applyNumberFormat="1" applyFont="1" applyFill="1" applyBorder="1" applyAlignment="1">
      <alignment horizontal="center" vertical="center"/>
    </xf>
    <xf numFmtId="164" fontId="3" fillId="2" borderId="3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164" fontId="3" fillId="2" borderId="4" xfId="0" applyNumberFormat="1" applyFont="1" applyFill="1" applyBorder="1" applyAlignment="1">
      <alignment horizontal="center" vertical="center"/>
    </xf>
    <xf numFmtId="164" fontId="5" fillId="5" borderId="1" xfId="0" applyNumberFormat="1" applyFont="1" applyFill="1" applyBorder="1" applyAlignment="1">
      <alignment horizontal="center" vertical="center"/>
    </xf>
    <xf numFmtId="164" fontId="5" fillId="5" borderId="3" xfId="0" applyNumberFormat="1" applyFont="1" applyFill="1" applyBorder="1" applyAlignment="1">
      <alignment horizontal="center" vertical="center"/>
    </xf>
    <xf numFmtId="165" fontId="3" fillId="6" borderId="2" xfId="0" applyNumberFormat="1" applyFont="1" applyFill="1" applyBorder="1" applyAlignment="1">
      <alignment horizontal="center" vertical="center"/>
    </xf>
    <xf numFmtId="165" fontId="3" fillId="6" borderId="1" xfId="0" applyNumberFormat="1" applyFont="1" applyFill="1" applyBorder="1" applyAlignment="1">
      <alignment horizontal="center" vertical="center"/>
    </xf>
    <xf numFmtId="165" fontId="3" fillId="6" borderId="4" xfId="0" applyNumberFormat="1" applyFont="1" applyFill="1" applyBorder="1" applyAlignment="1">
      <alignment horizontal="center" vertical="center"/>
    </xf>
    <xf numFmtId="165" fontId="5" fillId="7" borderId="1" xfId="0" applyNumberFormat="1" applyFont="1" applyFill="1" applyBorder="1" applyAlignment="1">
      <alignment horizontal="center" vertical="center"/>
    </xf>
    <xf numFmtId="165" fontId="5" fillId="7" borderId="3" xfId="0" applyNumberFormat="1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164" fontId="5" fillId="8" borderId="7" xfId="0" applyNumberFormat="1" applyFont="1" applyFill="1" applyBorder="1" applyAlignment="1">
      <alignment horizontal="center" vertical="center"/>
    </xf>
    <xf numFmtId="164" fontId="5" fillId="8" borderId="9" xfId="0" applyNumberFormat="1" applyFont="1" applyFill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/>
    </xf>
    <xf numFmtId="164" fontId="5" fillId="0" borderId="1" xfId="0" applyNumberFormat="1" applyFont="1" applyBorder="1" applyAlignment="1">
      <alignment horizontal="center" vertical="center"/>
    </xf>
    <xf numFmtId="164" fontId="5" fillId="0" borderId="3" xfId="0" applyNumberFormat="1" applyFont="1" applyBorder="1" applyAlignment="1">
      <alignment horizontal="center" vertical="center"/>
    </xf>
    <xf numFmtId="165" fontId="3" fillId="6" borderId="5" xfId="0" applyNumberFormat="1" applyFont="1" applyFill="1" applyBorder="1" applyAlignment="1">
      <alignment horizontal="center" vertical="center"/>
    </xf>
    <xf numFmtId="165" fontId="3" fillId="6" borderId="3" xfId="0" applyNumberFormat="1" applyFont="1" applyFill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5" fillId="8" borderId="6" xfId="0" applyNumberFormat="1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7" fillId="6" borderId="12" xfId="0" applyFont="1" applyFill="1" applyBorder="1" applyAlignment="1">
      <alignment horizontal="center" vertical="center"/>
    </xf>
    <xf numFmtId="164" fontId="3" fillId="9" borderId="12" xfId="0" applyNumberFormat="1" applyFont="1" applyFill="1" applyBorder="1" applyAlignment="1">
      <alignment horizontal="center" vertical="center"/>
    </xf>
    <xf numFmtId="164" fontId="3" fillId="9" borderId="11" xfId="0" applyNumberFormat="1" applyFont="1" applyFill="1" applyBorder="1" applyAlignment="1">
      <alignment horizontal="center" vertical="center"/>
    </xf>
    <xf numFmtId="164" fontId="3" fillId="9" borderId="1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uctr\Box\AAPTP_P401%20Gradation%20Bands\Data%20Analysis\Gradation%20calculation.xlsm" TargetMode="External"/><Relationship Id="rId1" Type="http://schemas.openxmlformats.org/officeDocument/2006/relationships/externalLinkPath" Target="/Users/ductr/Box/AAPTP_P401%20Gradation%20Bands/Data%20Analysis/Gradation%20calcul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troduction"/>
      <sheetName val="Main"/>
      <sheetName val="Blend Adjustments"/>
      <sheetName val="Chart1"/>
      <sheetName val="Chart2"/>
      <sheetName val="Chart3"/>
      <sheetName val="Chart4"/>
      <sheetName val="Chart5"/>
      <sheetName val="Chart6"/>
      <sheetName val="Chart7"/>
      <sheetName val="Chart8"/>
      <sheetName val="Chart9"/>
      <sheetName val="Chart10"/>
      <sheetName val="Data"/>
      <sheetName val="VMA and Voids"/>
      <sheetName val="Vbe and Gse"/>
      <sheetName val="VMA1"/>
      <sheetName val="Voids1"/>
      <sheetName val="VMA2 (Previous)"/>
      <sheetName val="Voids2 (Previous)"/>
      <sheetName val="1.18mm and AC"/>
      <sheetName val="2.36mm and AC"/>
      <sheetName val="4.75mm and AC"/>
      <sheetName val="9.5mm and AC"/>
    </sheetNames>
    <sheetDataSet>
      <sheetData sheetId="0"/>
      <sheetData sheetId="1">
        <row r="184">
          <cell r="G184">
            <v>0.35</v>
          </cell>
          <cell r="H184">
            <v>0.5</v>
          </cell>
        </row>
        <row r="185">
          <cell r="G185">
            <v>0.35</v>
          </cell>
          <cell r="H185">
            <v>0.5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475924-154F-4BF2-B4A8-D845CD44AD3B}">
  <sheetPr codeName="Sheet3"/>
  <dimension ref="A1:L28"/>
  <sheetViews>
    <sheetView workbookViewId="0">
      <selection activeCell="I23" sqref="I23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</row>
    <row r="2" spans="1:12" ht="16.2" thickBot="1" x14ac:dyDescent="0.35">
      <c r="A2" s="3" t="s">
        <v>7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/>
      <c r="J2" s="3"/>
      <c r="K2" s="3"/>
      <c r="L2" s="3"/>
    </row>
    <row r="3" spans="1:12" ht="16.2" thickBot="1" x14ac:dyDescent="0.35">
      <c r="A3" s="3" t="s">
        <v>8</v>
      </c>
      <c r="B3" s="13">
        <v>97.298398217529339</v>
      </c>
      <c r="C3" s="4">
        <v>96.83206615979725</v>
      </c>
      <c r="D3" s="4">
        <v>96.641666666666666</v>
      </c>
      <c r="E3" s="4">
        <v>97.8</v>
      </c>
      <c r="F3" s="4">
        <v>97.9</v>
      </c>
      <c r="G3" s="4">
        <v>95.592349422023929</v>
      </c>
      <c r="H3" s="4">
        <v>98</v>
      </c>
      <c r="I3" s="4">
        <v>97.350868753442171</v>
      </c>
      <c r="J3" s="4">
        <v>98.1</v>
      </c>
      <c r="K3" s="4">
        <v>97.808977522843989</v>
      </c>
      <c r="L3" s="14">
        <v>97.606407129882655</v>
      </c>
    </row>
    <row r="4" spans="1:12" ht="16.2" thickBot="1" x14ac:dyDescent="0.35">
      <c r="A4" s="3" t="s">
        <v>9</v>
      </c>
      <c r="B4" s="13">
        <v>88.481350672364599</v>
      </c>
      <c r="C4" s="4">
        <v>88.436047752434305</v>
      </c>
      <c r="D4" s="4">
        <v>88.513333333333335</v>
      </c>
      <c r="E4" s="4">
        <v>88</v>
      </c>
      <c r="F4" s="4">
        <v>88.4</v>
      </c>
      <c r="G4" s="4">
        <v>84.344075206929588</v>
      </c>
      <c r="H4" s="4">
        <v>88.7</v>
      </c>
      <c r="I4" s="4">
        <v>88.369553677031718</v>
      </c>
      <c r="J4" s="4">
        <v>89.4</v>
      </c>
      <c r="K4" s="4">
        <v>89.41839525111719</v>
      </c>
      <c r="L4" s="14">
        <v>90.258866177385826</v>
      </c>
    </row>
    <row r="5" spans="1:12" ht="16.2" thickBot="1" x14ac:dyDescent="0.35">
      <c r="A5" s="3" t="s">
        <v>10</v>
      </c>
      <c r="B5" s="13">
        <v>58.969286586886355</v>
      </c>
      <c r="C5" s="4">
        <v>66.673336001067099</v>
      </c>
      <c r="D5" s="4">
        <v>68.273333333333341</v>
      </c>
      <c r="E5" s="4">
        <v>65.599999999999994</v>
      </c>
      <c r="F5" s="4">
        <v>66.5</v>
      </c>
      <c r="G5" s="4">
        <v>69.890607433862002</v>
      </c>
      <c r="H5" s="4">
        <v>67.400000000000006</v>
      </c>
      <c r="I5" s="4">
        <v>68.196828852702211</v>
      </c>
      <c r="J5" s="4">
        <v>69.099999999999994</v>
      </c>
      <c r="K5" s="4">
        <v>69.449076235576598</v>
      </c>
      <c r="L5" s="14">
        <v>71.169239032179533</v>
      </c>
    </row>
    <row r="6" spans="1:12" ht="16.2" thickBot="1" x14ac:dyDescent="0.35">
      <c r="A6" s="3" t="s">
        <v>11</v>
      </c>
      <c r="B6" s="13">
        <v>45.591659683067299</v>
      </c>
      <c r="C6" s="4">
        <v>54.908630118714164</v>
      </c>
      <c r="D6" s="4">
        <v>55.968333333333334</v>
      </c>
      <c r="E6" s="4">
        <v>54.6</v>
      </c>
      <c r="F6" s="4">
        <v>54.6</v>
      </c>
      <c r="G6" s="4">
        <v>57.024907003572181</v>
      </c>
      <c r="H6" s="4">
        <v>56.3</v>
      </c>
      <c r="I6" s="4">
        <v>55.172291548423686</v>
      </c>
      <c r="J6" s="4">
        <v>57.5</v>
      </c>
      <c r="K6" s="4">
        <v>58.587340759020897</v>
      </c>
      <c r="L6" s="14">
        <v>59.542194657866396</v>
      </c>
    </row>
    <row r="7" spans="1:12" ht="16.2" thickBot="1" x14ac:dyDescent="0.35">
      <c r="A7" s="3" t="s">
        <v>12</v>
      </c>
      <c r="B7" s="13">
        <v>37.676361053053498</v>
      </c>
      <c r="C7" s="4">
        <v>45.668267306922772</v>
      </c>
      <c r="D7" s="4">
        <v>45.111666666666665</v>
      </c>
      <c r="E7" s="4">
        <v>46.2</v>
      </c>
      <c r="F7" s="4">
        <v>45</v>
      </c>
      <c r="G7" s="4">
        <v>45.90290010752102</v>
      </c>
      <c r="H7" s="4">
        <v>47.6</v>
      </c>
      <c r="I7" s="4">
        <v>44.328231607498793</v>
      </c>
      <c r="J7" s="4">
        <v>48.2</v>
      </c>
      <c r="K7" s="4">
        <v>49.783232175015002</v>
      </c>
      <c r="L7" s="14">
        <v>50.306646918726116</v>
      </c>
    </row>
    <row r="8" spans="1:12" ht="16.2" thickBot="1" x14ac:dyDescent="0.35">
      <c r="A8" s="3" t="s">
        <v>13</v>
      </c>
      <c r="B8" s="13">
        <v>31.296618357165539</v>
      </c>
      <c r="C8" s="4">
        <v>38.168600773642801</v>
      </c>
      <c r="D8" s="4">
        <v>36.006666666666661</v>
      </c>
      <c r="E8" s="4">
        <v>39.4</v>
      </c>
      <c r="F8" s="4">
        <v>37.200000000000003</v>
      </c>
      <c r="G8" s="4">
        <v>36.676363756673794</v>
      </c>
      <c r="H8" s="4">
        <v>40.6</v>
      </c>
      <c r="I8" s="4">
        <v>35.254314439715181</v>
      </c>
      <c r="J8" s="4">
        <v>40.700000000000003</v>
      </c>
      <c r="K8" s="4">
        <v>42.519842593210157</v>
      </c>
      <c r="L8" s="14">
        <v>42.781912101485673</v>
      </c>
    </row>
    <row r="9" spans="1:12" ht="16.2" thickBot="1" x14ac:dyDescent="0.35">
      <c r="A9" s="3" t="s">
        <v>14</v>
      </c>
      <c r="B9" s="13">
        <v>22.512526093078574</v>
      </c>
      <c r="C9" s="4">
        <v>27.867813792183554</v>
      </c>
      <c r="D9" s="4">
        <v>23.841666666666661</v>
      </c>
      <c r="E9" s="4">
        <v>30.1</v>
      </c>
      <c r="F9" s="4">
        <v>26.8</v>
      </c>
      <c r="G9" s="4">
        <v>24.117975141536075</v>
      </c>
      <c r="H9" s="4">
        <v>31</v>
      </c>
      <c r="I9" s="4">
        <v>22.878305192566284</v>
      </c>
      <c r="J9" s="4">
        <v>30.5</v>
      </c>
      <c r="K9" s="4">
        <v>32.571866871206552</v>
      </c>
      <c r="L9" s="14">
        <v>32.307995275113328</v>
      </c>
    </row>
    <row r="10" spans="1:12" ht="16.2" thickBot="1" x14ac:dyDescent="0.35">
      <c r="A10" s="3" t="s">
        <v>15</v>
      </c>
      <c r="B10" s="13">
        <v>11.213502631151407</v>
      </c>
      <c r="C10" s="4">
        <v>15.096038415366152</v>
      </c>
      <c r="D10" s="4">
        <v>13.141666666666666</v>
      </c>
      <c r="E10" s="4">
        <v>16.100000000000001</v>
      </c>
      <c r="F10" s="4">
        <v>14</v>
      </c>
      <c r="G10" s="4">
        <v>11.607917086522853</v>
      </c>
      <c r="H10" s="4">
        <v>16.600000000000001</v>
      </c>
      <c r="I10" s="4">
        <v>11.707921416442012</v>
      </c>
      <c r="J10" s="4">
        <v>16.2</v>
      </c>
      <c r="K10" s="4">
        <v>17.574868271860197</v>
      </c>
      <c r="L10" s="14">
        <v>16.915781204363547</v>
      </c>
    </row>
    <row r="11" spans="1:12" ht="16.2" thickBot="1" x14ac:dyDescent="0.35">
      <c r="A11" s="3" t="s">
        <v>16</v>
      </c>
      <c r="B11" s="12">
        <v>4.3880062232182766</v>
      </c>
      <c r="C11" s="5">
        <v>6.5959717220221421</v>
      </c>
      <c r="D11" s="5">
        <v>7.5283333333333431</v>
      </c>
      <c r="E11" s="5">
        <v>5.9</v>
      </c>
      <c r="F11" s="5">
        <v>6</v>
      </c>
      <c r="G11" s="5">
        <v>6.0179007296916369</v>
      </c>
      <c r="H11" s="5">
        <v>6</v>
      </c>
      <c r="I11" s="5">
        <v>6.0238587026526353</v>
      </c>
      <c r="J11" s="5">
        <v>6.3</v>
      </c>
      <c r="K11" s="5">
        <v>6.5730674314680186</v>
      </c>
      <c r="L11" s="15">
        <v>5.8596529701257269</v>
      </c>
    </row>
    <row r="12" spans="1:12" x14ac:dyDescent="0.3">
      <c r="A12" s="3" t="s">
        <v>20</v>
      </c>
      <c r="B12" s="2">
        <f>(B7-B8)/(B6-B7)</f>
        <v>0.80600151606368831</v>
      </c>
      <c r="C12" s="2">
        <f t="shared" ref="C12:L12" si="0">(C7-C8)/(C6-C7)</f>
        <v>0.81162035366293594</v>
      </c>
      <c r="D12" s="2">
        <f t="shared" si="0"/>
        <v>0.83865520417562189</v>
      </c>
      <c r="E12" s="2">
        <f t="shared" si="0"/>
        <v>0.8095238095238102</v>
      </c>
      <c r="F12" s="2">
        <f t="shared" si="0"/>
        <v>0.81249999999999956</v>
      </c>
      <c r="G12" s="2">
        <f t="shared" si="0"/>
        <v>0.82957477342718455</v>
      </c>
      <c r="H12" s="2">
        <f t="shared" si="0"/>
        <v>0.80459770114942564</v>
      </c>
      <c r="I12" s="2">
        <f t="shared" si="0"/>
        <v>0.8367638335840567</v>
      </c>
      <c r="J12" s="2">
        <f t="shared" si="0"/>
        <v>0.80645161290322609</v>
      </c>
      <c r="K12" s="2">
        <f t="shared" si="0"/>
        <v>0.82499999999999785</v>
      </c>
      <c r="L12" s="2">
        <f t="shared" si="0"/>
        <v>0.81475782809833719</v>
      </c>
    </row>
    <row r="13" spans="1:12" ht="16.2" thickBot="1" x14ac:dyDescent="0.35">
      <c r="A13" s="3" t="s">
        <v>21</v>
      </c>
      <c r="B13" s="2">
        <f>B10/B8</f>
        <v>0.35829758037050069</v>
      </c>
      <c r="C13" s="2">
        <f t="shared" ref="C13:K13" si="1">C10/C8</f>
        <v>0.39550934824392803</v>
      </c>
      <c r="D13" s="2">
        <f t="shared" si="1"/>
        <v>0.36497870764673213</v>
      </c>
      <c r="E13" s="2">
        <f t="shared" si="1"/>
        <v>0.40862944162436554</v>
      </c>
      <c r="F13" s="2">
        <f t="shared" si="1"/>
        <v>0.37634408602150538</v>
      </c>
      <c r="G13" s="2">
        <f t="shared" si="1"/>
        <v>0.31649585448368295</v>
      </c>
      <c r="H13" s="2">
        <f t="shared" si="1"/>
        <v>0.40886699507389163</v>
      </c>
      <c r="I13" s="2">
        <f t="shared" si="1"/>
        <v>0.33209896724732907</v>
      </c>
      <c r="J13" s="2">
        <f t="shared" si="1"/>
        <v>0.398034398034398</v>
      </c>
      <c r="K13" s="2">
        <f t="shared" si="1"/>
        <v>0.41333333333333327</v>
      </c>
      <c r="L13" s="2">
        <f>L10/L8</f>
        <v>0.39539563272058892</v>
      </c>
    </row>
    <row r="14" spans="1:12" ht="16.2" thickBot="1" x14ac:dyDescent="0.35">
      <c r="A14" s="3" t="s">
        <v>17</v>
      </c>
      <c r="B14" s="16">
        <v>14.6</v>
      </c>
      <c r="C14" s="6">
        <v>16.2</v>
      </c>
      <c r="D14" s="6">
        <v>16.399999999999999</v>
      </c>
      <c r="E14" s="6">
        <v>16.5</v>
      </c>
      <c r="F14" s="6">
        <v>16.7</v>
      </c>
      <c r="G14" s="6">
        <v>16.8</v>
      </c>
      <c r="H14" s="6">
        <v>16.899999999999999</v>
      </c>
      <c r="I14" s="6">
        <v>17</v>
      </c>
      <c r="J14" s="6">
        <v>17.100000000000001</v>
      </c>
      <c r="K14" s="6">
        <v>17.100000000000001</v>
      </c>
      <c r="L14" s="17">
        <v>17.600000000000001</v>
      </c>
    </row>
    <row r="15" spans="1:12" x14ac:dyDescent="0.3">
      <c r="A15" s="3" t="s">
        <v>18</v>
      </c>
      <c r="B15" s="7"/>
      <c r="C15" s="8">
        <f>($B$17+(C3-AVERAGE(B3:C3))*$B$18+(C4-AVERAGE(B4:C4))*$B$19+(C5-AVERAGE(B5:C5))*$B$20+(C6-AVERAGE(B6:C6))*$B$21+(C7-AVERAGE(B7:C7))*$B$22+(C8-AVERAGE(B8:C8))*$B$23+(C9-AVERAGE(B9:C9))*$B$24+(C10-AVERAGE(B10:C10))*$B$25+(C11-AVERAGE(B11:C11))*$B$26+(C12-AVERAGE(B12:C12))*$B$27+(C13-AVERAGE(B13:C13))*$B$28)*2+B14</f>
        <v>16.565959683039036</v>
      </c>
      <c r="D15" s="9">
        <f>(($B$17+(D3-AVERAGE(B3:D3))*$B$18+(D4-AVERAGE(B4:D4))*$B$19+(D5-AVERAGE(B5:D5))*$B$20+(D6-AVERAGE(B6:D6))*$B$21+(D7-AVERAGE(B7:D7))*$B$22+(D8-AVERAGE(B8:D8))*$B$23+(D9-AVERAGE(B9:D9))*$B$24+(D10-AVERAGE(B10:D10))*$B$25+(D11-AVERAGE(B11:D11))*$B$26+(D12-AVERAGE(B12:D12))*$B$27+(D13-AVERAGE(B13:D13))*$B$28)*3+C14+B14)/2</f>
        <v>16.72170714134942</v>
      </c>
      <c r="E15" s="10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16.183941620975411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16.31990327882075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17.051595787662173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16.65210614941504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16.637775943170812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17.012849164425145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17.276499634747996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17.468948739781958</v>
      </c>
    </row>
    <row r="17" spans="1:2" x14ac:dyDescent="0.3">
      <c r="A17" s="2" t="s">
        <v>19</v>
      </c>
      <c r="B17" s="2">
        <v>0</v>
      </c>
    </row>
    <row r="18" spans="1:2" x14ac:dyDescent="0.3">
      <c r="A18" s="3" t="s">
        <v>8</v>
      </c>
      <c r="B18" s="2">
        <v>0</v>
      </c>
    </row>
    <row r="19" spans="1:2" x14ac:dyDescent="0.3">
      <c r="A19" s="3" t="s">
        <v>9</v>
      </c>
      <c r="B19" s="2">
        <v>0</v>
      </c>
    </row>
    <row r="20" spans="1:2" x14ac:dyDescent="0.3">
      <c r="A20" s="3" t="s">
        <v>10</v>
      </c>
      <c r="B20" s="2">
        <v>0</v>
      </c>
    </row>
    <row r="21" spans="1:2" x14ac:dyDescent="0.3">
      <c r="A21" s="3" t="s">
        <v>11</v>
      </c>
      <c r="B21" s="2">
        <v>0.21579999999999999</v>
      </c>
    </row>
    <row r="22" spans="1:2" x14ac:dyDescent="0.3">
      <c r="A22" s="3" t="s">
        <v>12</v>
      </c>
      <c r="B22" s="2">
        <v>0</v>
      </c>
    </row>
    <row r="23" spans="1:2" x14ac:dyDescent="0.3">
      <c r="A23" s="3" t="s">
        <v>13</v>
      </c>
      <c r="B23" s="2">
        <v>0</v>
      </c>
    </row>
    <row r="24" spans="1:2" x14ac:dyDescent="0.3">
      <c r="A24" s="3" t="s">
        <v>14</v>
      </c>
      <c r="B24" s="2">
        <v>0</v>
      </c>
    </row>
    <row r="25" spans="1:2" x14ac:dyDescent="0.3">
      <c r="A25" s="3" t="s">
        <v>15</v>
      </c>
      <c r="B25" s="2">
        <v>0</v>
      </c>
    </row>
    <row r="26" spans="1:2" x14ac:dyDescent="0.3">
      <c r="A26" s="3" t="s">
        <v>16</v>
      </c>
      <c r="B26" s="2">
        <v>0</v>
      </c>
    </row>
    <row r="27" spans="1:2" x14ac:dyDescent="0.3">
      <c r="A27" s="3" t="s">
        <v>20</v>
      </c>
      <c r="B27" s="2">
        <v>2.3199999999999998</v>
      </c>
    </row>
    <row r="28" spans="1:2" x14ac:dyDescent="0.3">
      <c r="A28" s="3" t="s">
        <v>21</v>
      </c>
      <c r="B28" s="2">
        <v>-1.55</v>
      </c>
    </row>
  </sheetData>
  <phoneticPr fontId="4" type="noConversion"/>
  <dataValidations disablePrompts="1" count="1">
    <dataValidation type="decimal" allowBlank="1" showInputMessage="1" showErrorMessage="1" errorTitle="Input Error" error="Percent Passing Value Must Be Between 0.0 and 100.0" sqref="E3:E11 B4:C11" xr:uid="{B7477142-9132-48C2-8739-9A2C162D13FC}">
      <formula1>0</formula1>
      <formula2>100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D627A-C86B-439F-9646-0167128EC8D8}">
  <sheetPr codeName="Sheet8"/>
  <dimension ref="A1:L28"/>
  <sheetViews>
    <sheetView workbookViewId="0">
      <selection activeCell="D30" sqref="D30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22</v>
      </c>
      <c r="I1" s="1" t="s">
        <v>23</v>
      </c>
      <c r="J1" s="1" t="s">
        <v>24</v>
      </c>
      <c r="K1" s="1" t="s">
        <v>25</v>
      </c>
      <c r="L1" s="1" t="s">
        <v>26</v>
      </c>
    </row>
    <row r="2" spans="1:12" ht="16.2" thickBot="1" x14ac:dyDescent="0.35">
      <c r="A2" s="3" t="s">
        <v>7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>
        <v>100</v>
      </c>
      <c r="I2" s="3"/>
      <c r="J2" s="3"/>
      <c r="K2" s="3"/>
      <c r="L2" s="3"/>
    </row>
    <row r="3" spans="1:12" ht="16.2" thickBot="1" x14ac:dyDescent="0.35">
      <c r="A3" s="3" t="s">
        <v>8</v>
      </c>
      <c r="B3" s="13">
        <v>97.298398217529339</v>
      </c>
      <c r="C3" s="4">
        <v>96.83206615979725</v>
      </c>
      <c r="D3" s="4">
        <v>96.641666666666666</v>
      </c>
      <c r="E3" s="4">
        <v>97.8</v>
      </c>
      <c r="F3" s="4">
        <v>97.9</v>
      </c>
      <c r="G3" s="4">
        <v>95.592349422023929</v>
      </c>
      <c r="H3" s="4">
        <v>98</v>
      </c>
      <c r="I3" s="4">
        <v>97.350868753442171</v>
      </c>
      <c r="J3" s="4">
        <v>98.1</v>
      </c>
      <c r="K3" s="4">
        <v>97.808977522843989</v>
      </c>
      <c r="L3" s="14">
        <v>97.606407129882655</v>
      </c>
    </row>
    <row r="4" spans="1:12" ht="16.2" thickBot="1" x14ac:dyDescent="0.35">
      <c r="A4" s="3" t="s">
        <v>9</v>
      </c>
      <c r="B4" s="13">
        <v>88.481350672364599</v>
      </c>
      <c r="C4" s="4">
        <v>88.436047752434305</v>
      </c>
      <c r="D4" s="4">
        <v>88.513333333333335</v>
      </c>
      <c r="E4" s="4">
        <v>88</v>
      </c>
      <c r="F4" s="4">
        <v>88.4</v>
      </c>
      <c r="G4" s="4">
        <v>84.344075206929588</v>
      </c>
      <c r="H4" s="4">
        <v>88.7</v>
      </c>
      <c r="I4" s="4">
        <v>88.369553677031718</v>
      </c>
      <c r="J4" s="4">
        <v>89.4</v>
      </c>
      <c r="K4" s="4">
        <v>89.41839525111719</v>
      </c>
      <c r="L4" s="14">
        <v>90.258866177385826</v>
      </c>
    </row>
    <row r="5" spans="1:12" ht="16.2" thickBot="1" x14ac:dyDescent="0.35">
      <c r="A5" s="3" t="s">
        <v>10</v>
      </c>
      <c r="B5" s="13">
        <v>58.969286586886355</v>
      </c>
      <c r="C5" s="4">
        <v>66.673336001067099</v>
      </c>
      <c r="D5" s="4">
        <v>68.273333333333341</v>
      </c>
      <c r="E5" s="4">
        <v>65.599999999999994</v>
      </c>
      <c r="F5" s="4">
        <v>66.5</v>
      </c>
      <c r="G5" s="4">
        <v>69.890607433862002</v>
      </c>
      <c r="H5" s="4">
        <v>67.400000000000006</v>
      </c>
      <c r="I5" s="4">
        <v>68.196828852702211</v>
      </c>
      <c r="J5" s="4">
        <v>69.099999999999994</v>
      </c>
      <c r="K5" s="4">
        <v>69.449076235576598</v>
      </c>
      <c r="L5" s="14">
        <v>71.169239032179533</v>
      </c>
    </row>
    <row r="6" spans="1:12" ht="16.2" thickBot="1" x14ac:dyDescent="0.35">
      <c r="A6" s="3" t="s">
        <v>11</v>
      </c>
      <c r="B6" s="13">
        <v>45.591659683067299</v>
      </c>
      <c r="C6" s="4">
        <v>54.908630118714164</v>
      </c>
      <c r="D6" s="4">
        <v>55.968333333333334</v>
      </c>
      <c r="E6" s="4">
        <v>54.6</v>
      </c>
      <c r="F6" s="4">
        <v>54.6</v>
      </c>
      <c r="G6" s="4">
        <v>57.024907003572181</v>
      </c>
      <c r="H6" s="4">
        <v>56.3</v>
      </c>
      <c r="I6" s="4">
        <v>55.172291548423686</v>
      </c>
      <c r="J6" s="4">
        <v>57.5</v>
      </c>
      <c r="K6" s="4">
        <v>58.587340759020897</v>
      </c>
      <c r="L6" s="14">
        <v>59.542194657866396</v>
      </c>
    </row>
    <row r="7" spans="1:12" ht="16.2" thickBot="1" x14ac:dyDescent="0.35">
      <c r="A7" s="3" t="s">
        <v>12</v>
      </c>
      <c r="B7" s="13">
        <v>37.676361053053498</v>
      </c>
      <c r="C7" s="4">
        <v>45.668267306922772</v>
      </c>
      <c r="D7" s="4">
        <v>45.111666666666665</v>
      </c>
      <c r="E7" s="4">
        <v>46.2</v>
      </c>
      <c r="F7" s="4">
        <v>45</v>
      </c>
      <c r="G7" s="4">
        <v>45.90290010752102</v>
      </c>
      <c r="H7" s="4">
        <v>47.6</v>
      </c>
      <c r="I7" s="4">
        <v>44.328231607498793</v>
      </c>
      <c r="J7" s="4">
        <v>48.2</v>
      </c>
      <c r="K7" s="4">
        <v>49.783232175015002</v>
      </c>
      <c r="L7" s="14">
        <v>50.306646918726116</v>
      </c>
    </row>
    <row r="8" spans="1:12" ht="16.2" thickBot="1" x14ac:dyDescent="0.35">
      <c r="A8" s="3" t="s">
        <v>13</v>
      </c>
      <c r="B8" s="13">
        <v>31.296618357165539</v>
      </c>
      <c r="C8" s="4">
        <v>38.168600773642801</v>
      </c>
      <c r="D8" s="4">
        <v>36.006666666666661</v>
      </c>
      <c r="E8" s="4">
        <v>39.4</v>
      </c>
      <c r="F8" s="4">
        <v>37.200000000000003</v>
      </c>
      <c r="G8" s="4">
        <v>36.676363756673794</v>
      </c>
      <c r="H8" s="4">
        <v>40.6</v>
      </c>
      <c r="I8" s="4">
        <v>35.254314439715181</v>
      </c>
      <c r="J8" s="4">
        <v>40.700000000000003</v>
      </c>
      <c r="K8" s="4">
        <v>42.519842593210157</v>
      </c>
      <c r="L8" s="14">
        <v>42.781912101485673</v>
      </c>
    </row>
    <row r="9" spans="1:12" ht="16.2" thickBot="1" x14ac:dyDescent="0.35">
      <c r="A9" s="3" t="s">
        <v>14</v>
      </c>
      <c r="B9" s="13">
        <v>22.512526093078574</v>
      </c>
      <c r="C9" s="4">
        <v>27.867813792183554</v>
      </c>
      <c r="D9" s="4">
        <v>23.841666666666661</v>
      </c>
      <c r="E9" s="4">
        <v>30.1</v>
      </c>
      <c r="F9" s="4">
        <v>26.8</v>
      </c>
      <c r="G9" s="4">
        <v>24.117975141536075</v>
      </c>
      <c r="H9" s="4">
        <v>31</v>
      </c>
      <c r="I9" s="4">
        <v>22.878305192566284</v>
      </c>
      <c r="J9" s="4">
        <v>30.5</v>
      </c>
      <c r="K9" s="4">
        <v>32.571866871206552</v>
      </c>
      <c r="L9" s="14">
        <v>32.307995275113328</v>
      </c>
    </row>
    <row r="10" spans="1:12" ht="16.2" thickBot="1" x14ac:dyDescent="0.35">
      <c r="A10" s="3" t="s">
        <v>15</v>
      </c>
      <c r="B10" s="13">
        <v>11.213502631151407</v>
      </c>
      <c r="C10" s="4">
        <v>15.096038415366152</v>
      </c>
      <c r="D10" s="4">
        <v>13.141666666666666</v>
      </c>
      <c r="E10" s="4">
        <v>16.100000000000001</v>
      </c>
      <c r="F10" s="4">
        <v>14</v>
      </c>
      <c r="G10" s="4">
        <v>11.607917086522853</v>
      </c>
      <c r="H10" s="4">
        <v>16.600000000000001</v>
      </c>
      <c r="I10" s="4">
        <v>11.707921416442012</v>
      </c>
      <c r="J10" s="4">
        <v>16.2</v>
      </c>
      <c r="K10" s="4">
        <v>17.574868271860197</v>
      </c>
      <c r="L10" s="14">
        <v>16.915781204363547</v>
      </c>
    </row>
    <row r="11" spans="1:12" ht="16.2" thickBot="1" x14ac:dyDescent="0.35">
      <c r="A11" s="3" t="s">
        <v>16</v>
      </c>
      <c r="B11" s="12">
        <v>4.3880062232182766</v>
      </c>
      <c r="C11" s="5">
        <v>6.5959717220221421</v>
      </c>
      <c r="D11" s="5">
        <v>7.5283333333333431</v>
      </c>
      <c r="E11" s="5">
        <v>5.9</v>
      </c>
      <c r="F11" s="5">
        <v>6</v>
      </c>
      <c r="G11" s="5">
        <v>6.0179007296916369</v>
      </c>
      <c r="H11" s="5">
        <v>6</v>
      </c>
      <c r="I11" s="5">
        <v>6.0238587026526353</v>
      </c>
      <c r="J11" s="5">
        <v>6.3</v>
      </c>
      <c r="K11" s="5">
        <v>6.5730674314680186</v>
      </c>
      <c r="L11" s="15">
        <v>5.8596529701257269</v>
      </c>
    </row>
    <row r="12" spans="1:12" x14ac:dyDescent="0.3">
      <c r="A12" s="3" t="s">
        <v>20</v>
      </c>
      <c r="B12" s="2">
        <f>(B7-B8)/(B6-B7)</f>
        <v>0.80600151606368831</v>
      </c>
      <c r="C12" s="2">
        <f t="shared" ref="C12:L12" si="0">(C7-C8)/(C6-C7)</f>
        <v>0.81162035366293594</v>
      </c>
      <c r="D12" s="2">
        <f t="shared" si="0"/>
        <v>0.83865520417562189</v>
      </c>
      <c r="E12" s="2">
        <f t="shared" si="0"/>
        <v>0.8095238095238102</v>
      </c>
      <c r="F12" s="2">
        <f t="shared" si="0"/>
        <v>0.81249999999999956</v>
      </c>
      <c r="G12" s="2">
        <f t="shared" si="0"/>
        <v>0.82957477342718455</v>
      </c>
      <c r="H12" s="2">
        <f t="shared" si="0"/>
        <v>0.80459770114942564</v>
      </c>
      <c r="I12" s="2">
        <f t="shared" si="0"/>
        <v>0.8367638335840567</v>
      </c>
      <c r="J12" s="2">
        <f t="shared" si="0"/>
        <v>0.80645161290322609</v>
      </c>
      <c r="K12" s="2">
        <f t="shared" si="0"/>
        <v>0.82499999999999785</v>
      </c>
      <c r="L12" s="2">
        <f t="shared" si="0"/>
        <v>0.81475782809833719</v>
      </c>
    </row>
    <row r="13" spans="1:12" ht="16.2" thickBot="1" x14ac:dyDescent="0.35">
      <c r="A13" s="3" t="s">
        <v>21</v>
      </c>
      <c r="B13" s="2">
        <f>B10/B8</f>
        <v>0.35829758037050069</v>
      </c>
      <c r="C13" s="2">
        <f t="shared" ref="C13:K13" si="1">C10/C8</f>
        <v>0.39550934824392803</v>
      </c>
      <c r="D13" s="2">
        <f t="shared" si="1"/>
        <v>0.36497870764673213</v>
      </c>
      <c r="E13" s="2">
        <f t="shared" si="1"/>
        <v>0.40862944162436554</v>
      </c>
      <c r="F13" s="2">
        <f t="shared" si="1"/>
        <v>0.37634408602150538</v>
      </c>
      <c r="G13" s="2">
        <f t="shared" si="1"/>
        <v>0.31649585448368295</v>
      </c>
      <c r="H13" s="2">
        <f t="shared" si="1"/>
        <v>0.40886699507389163</v>
      </c>
      <c r="I13" s="2">
        <f t="shared" si="1"/>
        <v>0.33209896724732907</v>
      </c>
      <c r="J13" s="2">
        <f t="shared" si="1"/>
        <v>0.398034398034398</v>
      </c>
      <c r="K13" s="2">
        <f t="shared" si="1"/>
        <v>0.41333333333333327</v>
      </c>
      <c r="L13" s="2">
        <f>L10/L8</f>
        <v>0.39539563272058892</v>
      </c>
    </row>
    <row r="14" spans="1:12" ht="16.2" thickBot="1" x14ac:dyDescent="0.35">
      <c r="A14" s="3" t="s">
        <v>17</v>
      </c>
      <c r="B14" s="16">
        <v>14.6</v>
      </c>
      <c r="C14" s="6">
        <v>16.2</v>
      </c>
      <c r="D14" s="6">
        <v>16.399999999999999</v>
      </c>
      <c r="E14" s="6">
        <v>16.5</v>
      </c>
      <c r="F14" s="6">
        <v>16.7</v>
      </c>
      <c r="G14" s="6">
        <v>16.8</v>
      </c>
      <c r="H14" s="6">
        <v>16.899999999999999</v>
      </c>
      <c r="I14" s="6">
        <v>17</v>
      </c>
      <c r="J14" s="6">
        <v>17.100000000000001</v>
      </c>
      <c r="K14" s="6">
        <v>17.100000000000001</v>
      </c>
      <c r="L14" s="17">
        <v>17.600000000000001</v>
      </c>
    </row>
    <row r="15" spans="1:12" x14ac:dyDescent="0.3">
      <c r="A15" s="3" t="s">
        <v>18</v>
      </c>
      <c r="B15" s="7"/>
      <c r="C15" s="8">
        <f>($B$17+(C3-AVERAGE(B3:C3))*$B$18+(C4-AVERAGE(B4:C4))*$B$19+(C5-AVERAGE(B5:C5))*$B$20+(C6-AVERAGE(B6:C6))*$B$21+(C7-AVERAGE(B7:C7))*$B$22+(C8-AVERAGE(B8:C8))*$B$23+(C9-AVERAGE(B9:C9))*$B$24+(C10-AVERAGE(B10:C10))*$B$25+(C11-AVERAGE(B11:C11))*$B$26+(C12-AVERAGE(B12:C12))*$B$27+(C13-AVERAGE(B13:C13))*$B$28)*2+B14</f>
        <v>16.565959683039036</v>
      </c>
      <c r="D15" s="9">
        <f>(($B$17+(D3-AVERAGE(B3:D3))*$B$18+(D4-AVERAGE(B4:D4))*$B$19+(D5-AVERAGE(B5:D5))*$B$20+(D6-AVERAGE(B6:D6))*$B$21+(D7-AVERAGE(B7:D7))*$B$22+(D8-AVERAGE(B8:D8))*$B$23+(D9-AVERAGE(B9:D9))*$B$24+(D10-AVERAGE(B10:D10))*$B$25+(D11-AVERAGE(B11:D11))*$B$26+(D12-AVERAGE(B12:D12))*$B$27+(D13-AVERAGE(B13:D13))*$B$28)*3+C14+B14)/2</f>
        <v>16.72170714134942</v>
      </c>
      <c r="E15" s="10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16.183941620975411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16.31990327882075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17.051595787662173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16.65210614941504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16.637775943170812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17.012849164425145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17.276499634747996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17.468948739781958</v>
      </c>
    </row>
    <row r="17" spans="1:2" x14ac:dyDescent="0.3">
      <c r="A17" s="2" t="s">
        <v>19</v>
      </c>
      <c r="B17" s="2">
        <v>0</v>
      </c>
    </row>
    <row r="18" spans="1:2" x14ac:dyDescent="0.3">
      <c r="A18" s="3" t="s">
        <v>8</v>
      </c>
      <c r="B18" s="2">
        <v>0</v>
      </c>
    </row>
    <row r="19" spans="1:2" x14ac:dyDescent="0.3">
      <c r="A19" s="3" t="s">
        <v>9</v>
      </c>
      <c r="B19" s="2">
        <v>0</v>
      </c>
    </row>
    <row r="20" spans="1:2" x14ac:dyDescent="0.3">
      <c r="A20" s="3" t="s">
        <v>10</v>
      </c>
      <c r="B20" s="2">
        <v>0</v>
      </c>
    </row>
    <row r="21" spans="1:2" x14ac:dyDescent="0.3">
      <c r="A21" s="3" t="s">
        <v>11</v>
      </c>
      <c r="B21" s="2">
        <v>0.21579999999999999</v>
      </c>
    </row>
    <row r="22" spans="1:2" x14ac:dyDescent="0.3">
      <c r="A22" s="3" t="s">
        <v>12</v>
      </c>
      <c r="B22" s="2">
        <v>0</v>
      </c>
    </row>
    <row r="23" spans="1:2" x14ac:dyDescent="0.3">
      <c r="A23" s="3" t="s">
        <v>13</v>
      </c>
      <c r="B23" s="2">
        <v>0</v>
      </c>
    </row>
    <row r="24" spans="1:2" x14ac:dyDescent="0.3">
      <c r="A24" s="3" t="s">
        <v>14</v>
      </c>
      <c r="B24" s="2">
        <v>0</v>
      </c>
    </row>
    <row r="25" spans="1:2" x14ac:dyDescent="0.3">
      <c r="A25" s="3" t="s">
        <v>15</v>
      </c>
      <c r="B25" s="2">
        <v>0</v>
      </c>
    </row>
    <row r="26" spans="1:2" x14ac:dyDescent="0.3">
      <c r="A26" s="3" t="s">
        <v>16</v>
      </c>
      <c r="B26" s="2">
        <v>0</v>
      </c>
    </row>
    <row r="27" spans="1:2" x14ac:dyDescent="0.3">
      <c r="A27" s="3" t="s">
        <v>20</v>
      </c>
      <c r="B27" s="2">
        <v>2.3199999999999998</v>
      </c>
    </row>
    <row r="28" spans="1:2" x14ac:dyDescent="0.3">
      <c r="A28" s="3" t="s">
        <v>21</v>
      </c>
      <c r="B28" s="2">
        <v>-1.55</v>
      </c>
    </row>
  </sheetData>
  <dataValidations count="1">
    <dataValidation type="decimal" allowBlank="1" showInputMessage="1" showErrorMessage="1" errorTitle="Input Error" error="Percent Passing Value Must Be Between 0.0 and 100.0" sqref="E3:E11 B4:C11" xr:uid="{98B3D6D3-07C4-4F21-B0EC-ACC4EA5F6CCD}">
      <formula1>0</formula1>
      <formula2>100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BDA10-CFF0-4A73-BEB7-4A29E1BB1382}">
  <sheetPr codeName="Sheet4"/>
  <dimension ref="A1:L28"/>
  <sheetViews>
    <sheetView workbookViewId="0">
      <selection activeCell="B28" sqref="B28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  <c r="I1" s="1"/>
      <c r="J1" s="1"/>
      <c r="K1" s="1"/>
      <c r="L1" s="1"/>
    </row>
    <row r="2" spans="1:12" ht="16.2" thickBot="1" x14ac:dyDescent="0.35">
      <c r="A2" s="3" t="s">
        <v>7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/>
      <c r="I2" s="3"/>
      <c r="J2" s="3"/>
      <c r="K2" s="3"/>
      <c r="L2" s="3"/>
    </row>
    <row r="3" spans="1:12" ht="16.2" thickBot="1" x14ac:dyDescent="0.35">
      <c r="A3" s="3" t="s">
        <v>8</v>
      </c>
      <c r="B3" s="12">
        <v>93.521804799167953</v>
      </c>
      <c r="C3" s="5">
        <v>94.9</v>
      </c>
      <c r="D3" s="5">
        <v>93.521804799999998</v>
      </c>
      <c r="E3" s="5">
        <v>92.818457891649047</v>
      </c>
      <c r="F3" s="5">
        <v>95.187626422239049</v>
      </c>
      <c r="G3" s="18">
        <v>92.966530924810925</v>
      </c>
      <c r="H3" s="19"/>
      <c r="I3" s="20"/>
      <c r="J3" s="4"/>
      <c r="K3" s="4"/>
      <c r="L3" s="4"/>
    </row>
    <row r="4" spans="1:12" ht="16.2" thickBot="1" x14ac:dyDescent="0.35">
      <c r="A4" s="3" t="s">
        <v>9</v>
      </c>
      <c r="B4" s="12">
        <v>73.962955557483113</v>
      </c>
      <c r="C4" s="5">
        <v>78.3</v>
      </c>
      <c r="D4" s="5">
        <v>73.962955559999997</v>
      </c>
      <c r="E4" s="5">
        <v>71.293383116147268</v>
      </c>
      <c r="F4" s="5">
        <v>80.433471743321746</v>
      </c>
      <c r="G4" s="18">
        <v>71.58927806129806</v>
      </c>
      <c r="H4" s="19"/>
      <c r="I4" s="20"/>
      <c r="J4" s="4"/>
      <c r="K4" s="4"/>
      <c r="L4" s="4"/>
    </row>
    <row r="5" spans="1:12" ht="16.2" thickBot="1" x14ac:dyDescent="0.35">
      <c r="A5" s="3" t="s">
        <v>10</v>
      </c>
      <c r="B5" s="12">
        <v>55.01142935761618</v>
      </c>
      <c r="C5" s="5">
        <v>56.4</v>
      </c>
      <c r="D5" s="5">
        <v>55.127512279999998</v>
      </c>
      <c r="E5" s="5">
        <v>53.972162395858625</v>
      </c>
      <c r="F5" s="5">
        <v>61.063471481516487</v>
      </c>
      <c r="G5" s="18">
        <v>48.32581812087853</v>
      </c>
      <c r="H5" s="19"/>
      <c r="I5" s="20"/>
      <c r="J5" s="4"/>
      <c r="K5" s="4"/>
      <c r="L5" s="4"/>
    </row>
    <row r="6" spans="1:12" ht="16.2" thickBot="1" x14ac:dyDescent="0.35">
      <c r="A6" s="3" t="s">
        <v>11</v>
      </c>
      <c r="B6" s="12">
        <v>38.843449699309161</v>
      </c>
      <c r="C6" s="5">
        <v>39.6</v>
      </c>
      <c r="D6" s="5">
        <v>38.668819890000002</v>
      </c>
      <c r="E6" s="5">
        <v>37.997908298272307</v>
      </c>
      <c r="F6" s="5">
        <v>42.874669081567554</v>
      </c>
      <c r="G6" s="18">
        <v>32.052176344679644</v>
      </c>
      <c r="H6" s="19"/>
      <c r="I6" s="20"/>
      <c r="J6" s="4"/>
      <c r="K6" s="4"/>
      <c r="L6" s="4"/>
    </row>
    <row r="7" spans="1:12" ht="16.2" thickBot="1" x14ac:dyDescent="0.35">
      <c r="A7" s="3" t="s">
        <v>12</v>
      </c>
      <c r="B7" s="12">
        <v>26.522078115539166</v>
      </c>
      <c r="C7" s="5">
        <v>27.3</v>
      </c>
      <c r="D7" s="5">
        <v>25.985849829999999</v>
      </c>
      <c r="E7" s="5">
        <v>25.003604249640251</v>
      </c>
      <c r="F7" s="5">
        <v>29.342641842419756</v>
      </c>
      <c r="G7" s="18">
        <v>20.947299434521124</v>
      </c>
      <c r="H7" s="19"/>
      <c r="I7" s="20"/>
      <c r="J7" s="4"/>
      <c r="K7" s="4"/>
      <c r="L7" s="4"/>
    </row>
    <row r="8" spans="1:12" ht="16.2" thickBot="1" x14ac:dyDescent="0.35">
      <c r="A8" s="3" t="s">
        <v>13</v>
      </c>
      <c r="B8" s="12">
        <v>18.964431761477396</v>
      </c>
      <c r="C8" s="5">
        <v>19.399999999999999</v>
      </c>
      <c r="D8" s="5">
        <v>18.221443780000001</v>
      </c>
      <c r="E8" s="5">
        <v>17.198197249372672</v>
      </c>
      <c r="F8" s="5">
        <v>20.91289805079543</v>
      </c>
      <c r="G8" s="18">
        <v>14.423906704104409</v>
      </c>
      <c r="H8" s="19"/>
      <c r="I8" s="20"/>
      <c r="J8" s="4"/>
      <c r="K8" s="4"/>
      <c r="L8" s="4"/>
    </row>
    <row r="9" spans="1:12" ht="16.2" thickBot="1" x14ac:dyDescent="0.35">
      <c r="A9" s="3" t="s">
        <v>14</v>
      </c>
      <c r="B9" s="12">
        <v>13.623416100149662</v>
      </c>
      <c r="C9" s="5">
        <v>13.3</v>
      </c>
      <c r="D9" s="5">
        <v>12.605</v>
      </c>
      <c r="E9" s="5">
        <v>12.069944243798645</v>
      </c>
      <c r="F9" s="5">
        <v>14.381044276492737</v>
      </c>
      <c r="G9" s="18">
        <v>10.119045431586166</v>
      </c>
      <c r="H9" s="19"/>
      <c r="I9" s="20"/>
      <c r="J9" s="4"/>
      <c r="K9" s="4"/>
      <c r="L9" s="4"/>
    </row>
    <row r="10" spans="1:12" ht="16.2" thickBot="1" x14ac:dyDescent="0.35">
      <c r="A10" s="3" t="s">
        <v>15</v>
      </c>
      <c r="B10" s="12">
        <v>9.368637067016504</v>
      </c>
      <c r="C10" s="5">
        <v>8.6999999999999993</v>
      </c>
      <c r="D10" s="5">
        <v>7.9145980199999997</v>
      </c>
      <c r="E10" s="5">
        <v>8.0839670003662416</v>
      </c>
      <c r="F10" s="5">
        <v>8.7089401037299847</v>
      </c>
      <c r="G10" s="18">
        <v>6.7192729607656654</v>
      </c>
      <c r="H10" s="19"/>
      <c r="I10" s="20"/>
      <c r="J10" s="4"/>
      <c r="K10" s="4"/>
      <c r="L10" s="4"/>
    </row>
    <row r="11" spans="1:12" ht="16.2" thickBot="1" x14ac:dyDescent="0.35">
      <c r="A11" s="3" t="s">
        <v>16</v>
      </c>
      <c r="B11" s="12">
        <v>5.8907748064425141</v>
      </c>
      <c r="C11" s="5">
        <v>5</v>
      </c>
      <c r="D11" s="5">
        <v>4.038000737</v>
      </c>
      <c r="E11" s="5">
        <v>4.48419281852137</v>
      </c>
      <c r="F11" s="5">
        <v>4.3212489222681389</v>
      </c>
      <c r="G11" s="18">
        <v>3.6275817918094675</v>
      </c>
      <c r="H11" s="19"/>
      <c r="I11" s="20"/>
      <c r="J11" s="5"/>
      <c r="K11" s="5"/>
      <c r="L11" s="5"/>
    </row>
    <row r="12" spans="1:12" ht="16.2" thickBot="1" x14ac:dyDescent="0.35">
      <c r="A12" s="3" t="s">
        <v>27</v>
      </c>
      <c r="B12" s="21">
        <v>2.9008607930000001</v>
      </c>
      <c r="C12" s="22">
        <v>2.9009999999999998</v>
      </c>
      <c r="D12" s="22">
        <v>2.9013417000000001</v>
      </c>
      <c r="E12" s="22">
        <v>2.910799763</v>
      </c>
      <c r="F12" s="22">
        <v>2.8895741030000002</v>
      </c>
      <c r="G12" s="23">
        <v>2.9129230829999999</v>
      </c>
      <c r="H12" s="24"/>
      <c r="I12" s="25"/>
      <c r="J12" s="22"/>
      <c r="K12" s="22"/>
      <c r="L12" s="22"/>
    </row>
    <row r="13" spans="1:12" ht="16.2" thickBot="1" x14ac:dyDescent="0.35">
      <c r="A13" s="3" t="s">
        <v>28</v>
      </c>
      <c r="B13" s="26">
        <v>48.71</v>
      </c>
      <c r="C13" s="27">
        <v>48.92</v>
      </c>
      <c r="D13" s="27">
        <v>48.29</v>
      </c>
      <c r="E13" s="27">
        <v>49.53</v>
      </c>
      <c r="F13" s="27">
        <v>48.41</v>
      </c>
      <c r="G13" s="28">
        <v>48.5</v>
      </c>
      <c r="H13" s="29"/>
      <c r="I13" s="30"/>
      <c r="J13" s="27"/>
      <c r="K13" s="27"/>
      <c r="L13" s="27"/>
    </row>
    <row r="14" spans="1:12" ht="16.2" thickBot="1" x14ac:dyDescent="0.35">
      <c r="A14" s="3" t="s">
        <v>17</v>
      </c>
      <c r="B14" s="31">
        <v>15.6</v>
      </c>
      <c r="C14" s="32">
        <v>16.899999999999999</v>
      </c>
      <c r="D14" s="32">
        <v>17</v>
      </c>
      <c r="E14" s="32">
        <v>17</v>
      </c>
      <c r="F14" s="32">
        <v>17.600000000000001</v>
      </c>
      <c r="G14" s="33">
        <v>18.399999999999999</v>
      </c>
      <c r="H14" s="34"/>
      <c r="I14" s="35"/>
      <c r="J14" s="6"/>
      <c r="K14" s="6"/>
      <c r="L14" s="6"/>
    </row>
    <row r="15" spans="1:12" x14ac:dyDescent="0.3">
      <c r="A15" s="3" t="s">
        <v>18</v>
      </c>
      <c r="B15" s="7"/>
      <c r="C15" s="8">
        <f>($B$17+(C3-AVERAGE(B3:C3))*$B$18+(C4-AVERAGE(B4:C4))*$B$19+(C5-AVERAGE(B5:C5))*$B$20+(C6-AVERAGE(B6:C6))*$B$21+(C7-AVERAGE(B7:C7))*$B$22+(C8-AVERAGE(B8:C8))*$B$23
+(C9-AVERAGE(B9:C9))*$B$24+(C10-AVERAGE(B10:C10))*$B$25+(C11-AVERAGE(B11:C11))*$B$26+(C12-AVERAGE(B12:C12))*$B$27+(C13-AVERAGE(B13:C13))*$B$28)*2+B14</f>
        <v>16.841512734234175</v>
      </c>
      <c r="D15" s="9">
        <f>(($B$17+(D3-AVERAGE(B3:D3))*$B$18+(D4-AVERAGE(B4:D4))*$B$19+(D5-AVERAGE(B5:D5))*$B$20+(D6-AVERAGE(B6:D6))*$B$21+(D7-AVERAGE(B7:D7))*$B$22+(D8-AVERAGE(B8:D8))*$B$23
+(D9-AVERAGE(B9:D9))*$B$24+(D10-AVERAGE(B10:D10))*$B$25+(D11-AVERAGE(B11:D11))*$B$26+(D12-AVERAGE(B12:D12))*$B$27+(D13-AVERAGE(B13:D13))*$B$28)*3+C14+B14)/2</f>
        <v>17.507367411157134</v>
      </c>
      <c r="E15" s="10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17.392349630417495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16.920430211937621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17.922902068474325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-318.07393265878505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-313.67446464534044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-310.37486363525699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-307.80850729408098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-305.75542222114018</v>
      </c>
    </row>
    <row r="17" spans="1:2" x14ac:dyDescent="0.3">
      <c r="A17" s="2" t="s">
        <v>19</v>
      </c>
      <c r="B17" s="2">
        <v>2.8199999999999999E-2</v>
      </c>
    </row>
    <row r="18" spans="1:2" x14ac:dyDescent="0.3">
      <c r="A18" s="3" t="s">
        <v>8</v>
      </c>
      <c r="B18" s="2">
        <v>0.315</v>
      </c>
    </row>
    <row r="19" spans="1:2" x14ac:dyDescent="0.3">
      <c r="A19" s="3" t="s">
        <v>9</v>
      </c>
      <c r="B19" s="2">
        <v>-2.7099999999999999E-2</v>
      </c>
    </row>
    <row r="20" spans="1:2" x14ac:dyDescent="0.3">
      <c r="A20" s="3" t="s">
        <v>10</v>
      </c>
      <c r="B20" s="2">
        <v>-3.7000000000000002E-3</v>
      </c>
    </row>
    <row r="21" spans="1:2" x14ac:dyDescent="0.3">
      <c r="A21" s="3" t="s">
        <v>11</v>
      </c>
      <c r="B21" s="2">
        <v>-4.3999999999999997E-2</v>
      </c>
    </row>
    <row r="22" spans="1:2" x14ac:dyDescent="0.3">
      <c r="A22" s="3" t="s">
        <v>12</v>
      </c>
      <c r="B22" s="2">
        <v>9.9000000000000005E-2</v>
      </c>
    </row>
    <row r="23" spans="1:2" x14ac:dyDescent="0.3">
      <c r="A23" s="3" t="s">
        <v>13</v>
      </c>
      <c r="B23" s="2">
        <v>-0.32400000000000001</v>
      </c>
    </row>
    <row r="24" spans="1:2" x14ac:dyDescent="0.3">
      <c r="A24" s="3" t="s">
        <v>14</v>
      </c>
      <c r="B24" s="2">
        <v>0.97</v>
      </c>
    </row>
    <row r="25" spans="1:2" x14ac:dyDescent="0.3">
      <c r="A25" s="3" t="s">
        <v>15</v>
      </c>
      <c r="B25" s="2">
        <v>-0.43</v>
      </c>
    </row>
    <row r="26" spans="1:2" x14ac:dyDescent="0.3">
      <c r="A26" s="3" t="s">
        <v>16</v>
      </c>
      <c r="B26" s="2">
        <v>-1.0740000000000001</v>
      </c>
    </row>
    <row r="27" spans="1:2" x14ac:dyDescent="0.3">
      <c r="A27" s="3" t="s">
        <v>27</v>
      </c>
      <c r="B27" s="2">
        <v>87.7</v>
      </c>
    </row>
    <row r="28" spans="1:2" x14ac:dyDescent="0.3">
      <c r="A28" s="3" t="s">
        <v>28</v>
      </c>
      <c r="B28" s="2">
        <v>0.13500000000000001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36D76-F6AD-4B15-A343-9A70B7CFE6D0}">
  <sheetPr codeName="Sheet9"/>
  <dimension ref="A1:X28"/>
  <sheetViews>
    <sheetView topLeftCell="A3" workbookViewId="0">
      <selection activeCell="G26" sqref="G26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8" width="8.77734375" style="2"/>
    <col min="9" max="9" width="9.33203125" style="2" bestFit="1" customWidth="1"/>
    <col min="10" max="16384" width="8.77734375" style="2"/>
  </cols>
  <sheetData>
    <row r="1" spans="1:2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/>
      <c r="I1" s="1"/>
      <c r="J1" s="1"/>
      <c r="K1" s="1"/>
      <c r="L1" s="1"/>
    </row>
    <row r="2" spans="1:24" ht="16.2" thickBot="1" x14ac:dyDescent="0.35">
      <c r="A2" s="3" t="s">
        <v>7</v>
      </c>
      <c r="B2" s="3">
        <v>100</v>
      </c>
      <c r="C2" s="3">
        <v>100</v>
      </c>
      <c r="D2" s="3">
        <v>100</v>
      </c>
      <c r="E2" s="3">
        <v>100</v>
      </c>
      <c r="F2" s="3">
        <v>100</v>
      </c>
      <c r="G2" s="3">
        <v>100</v>
      </c>
      <c r="H2" s="3"/>
      <c r="I2" s="3"/>
      <c r="J2" s="3"/>
      <c r="K2" s="3"/>
      <c r="L2" s="3"/>
    </row>
    <row r="3" spans="1:24" ht="16.2" thickBot="1" x14ac:dyDescent="0.35">
      <c r="A3" s="3" t="s">
        <v>8</v>
      </c>
      <c r="B3" s="12">
        <v>93.521804799167953</v>
      </c>
      <c r="C3" s="5">
        <v>94.9</v>
      </c>
      <c r="D3" s="5">
        <v>93.521804799999998</v>
      </c>
      <c r="E3" s="5">
        <v>92.818457891649047</v>
      </c>
      <c r="F3" s="5">
        <v>95.187626422239049</v>
      </c>
      <c r="G3" s="18">
        <v>92.966530924810925</v>
      </c>
      <c r="H3" s="19"/>
      <c r="I3" s="20"/>
      <c r="J3" s="4"/>
      <c r="K3" s="4"/>
      <c r="L3" s="4"/>
    </row>
    <row r="4" spans="1:24" ht="16.2" thickBot="1" x14ac:dyDescent="0.35">
      <c r="A4" s="3" t="s">
        <v>9</v>
      </c>
      <c r="B4" s="12">
        <v>73.962955557483113</v>
      </c>
      <c r="C4" s="5">
        <v>78.3</v>
      </c>
      <c r="D4" s="5">
        <v>73.962955559999997</v>
      </c>
      <c r="E4" s="5">
        <v>71.293383116147268</v>
      </c>
      <c r="F4" s="5">
        <v>80.433471743321746</v>
      </c>
      <c r="G4" s="18">
        <v>71.58927806129806</v>
      </c>
      <c r="H4" s="19"/>
      <c r="I4" s="20"/>
      <c r="J4" s="4"/>
      <c r="K4" s="4"/>
      <c r="L4" s="4"/>
    </row>
    <row r="5" spans="1:24" ht="16.2" thickBot="1" x14ac:dyDescent="0.35">
      <c r="A5" s="3" t="s">
        <v>10</v>
      </c>
      <c r="B5" s="12">
        <v>55.01142935761618</v>
      </c>
      <c r="C5" s="5">
        <v>56.4</v>
      </c>
      <c r="D5" s="5">
        <v>55.127512279999998</v>
      </c>
      <c r="E5" s="5">
        <v>53.972162395858625</v>
      </c>
      <c r="F5" s="5">
        <v>61.063471481516487</v>
      </c>
      <c r="G5" s="18">
        <v>48.32581812087853</v>
      </c>
      <c r="H5" s="19"/>
      <c r="I5" s="20"/>
      <c r="J5" s="4"/>
      <c r="K5" s="4"/>
      <c r="L5" s="4"/>
    </row>
    <row r="6" spans="1:24" ht="16.2" thickBot="1" x14ac:dyDescent="0.35">
      <c r="A6" s="3" t="s">
        <v>11</v>
      </c>
      <c r="B6" s="12">
        <v>38.843449699309161</v>
      </c>
      <c r="C6" s="5">
        <v>39.6</v>
      </c>
      <c r="D6" s="5">
        <v>38.668819890000002</v>
      </c>
      <c r="E6" s="5">
        <v>37.997908298272307</v>
      </c>
      <c r="F6" s="5">
        <v>42.874669081567554</v>
      </c>
      <c r="G6" s="18">
        <v>32.052176344679644</v>
      </c>
      <c r="H6" s="19"/>
      <c r="I6" s="20"/>
      <c r="J6" s="4"/>
      <c r="K6" s="4"/>
      <c r="L6" s="4"/>
    </row>
    <row r="7" spans="1:24" ht="16.2" thickBot="1" x14ac:dyDescent="0.35">
      <c r="A7" s="3" t="s">
        <v>12</v>
      </c>
      <c r="B7" s="12">
        <v>26.522078115539166</v>
      </c>
      <c r="C7" s="5">
        <v>27.3</v>
      </c>
      <c r="D7" s="5">
        <v>25.985849829999999</v>
      </c>
      <c r="E7" s="5">
        <v>25.003604249640251</v>
      </c>
      <c r="F7" s="5">
        <v>29.342641842419756</v>
      </c>
      <c r="G7" s="18">
        <v>20.947299434521124</v>
      </c>
      <c r="H7" s="19"/>
      <c r="I7" s="20"/>
      <c r="J7" s="4"/>
      <c r="K7" s="4"/>
      <c r="L7" s="4"/>
    </row>
    <row r="8" spans="1:24" ht="16.2" thickBot="1" x14ac:dyDescent="0.35">
      <c r="A8" s="3" t="s">
        <v>13</v>
      </c>
      <c r="B8" s="12">
        <v>18.964431761477396</v>
      </c>
      <c r="C8" s="5">
        <v>19.399999999999999</v>
      </c>
      <c r="D8" s="5">
        <v>18.221443780000001</v>
      </c>
      <c r="E8" s="5">
        <v>17.198197249372672</v>
      </c>
      <c r="F8" s="5">
        <v>20.91289805079543</v>
      </c>
      <c r="G8" s="18">
        <v>14.423906704104409</v>
      </c>
      <c r="H8" s="19"/>
      <c r="I8" s="20"/>
      <c r="J8" s="4"/>
      <c r="K8" s="4"/>
      <c r="L8" s="4"/>
      <c r="S8" s="2" t="s">
        <v>35</v>
      </c>
    </row>
    <row r="9" spans="1:24" ht="16.2" thickBot="1" x14ac:dyDescent="0.35">
      <c r="A9" s="3" t="s">
        <v>14</v>
      </c>
      <c r="B9" s="12">
        <v>13.623416100149662</v>
      </c>
      <c r="C9" s="5">
        <v>13.3</v>
      </c>
      <c r="D9" s="5">
        <v>12.605</v>
      </c>
      <c r="E9" s="5">
        <v>12.069944243798645</v>
      </c>
      <c r="F9" s="5">
        <v>14.381044276492737</v>
      </c>
      <c r="G9" s="18">
        <v>10.119045431586166</v>
      </c>
      <c r="H9" s="19"/>
      <c r="I9" s="20"/>
      <c r="J9" s="4"/>
      <c r="K9" s="4"/>
      <c r="L9" s="4"/>
      <c r="S9" s="2" t="s">
        <v>36</v>
      </c>
      <c r="T9" s="2" t="s">
        <v>37</v>
      </c>
      <c r="U9" s="2" t="s">
        <v>38</v>
      </c>
      <c r="V9" s="2" t="s">
        <v>39</v>
      </c>
      <c r="W9" s="2" t="s">
        <v>40</v>
      </c>
      <c r="X9" s="2" t="s">
        <v>41</v>
      </c>
    </row>
    <row r="10" spans="1:24" ht="16.2" thickBot="1" x14ac:dyDescent="0.35">
      <c r="A10" s="3" t="s">
        <v>15</v>
      </c>
      <c r="B10" s="12">
        <v>9.368637067016504</v>
      </c>
      <c r="C10" s="5">
        <v>8.6999999999999993</v>
      </c>
      <c r="D10" s="5">
        <v>7.9145980199999997</v>
      </c>
      <c r="E10" s="5">
        <v>8.0839670003662416</v>
      </c>
      <c r="F10" s="5">
        <v>8.7089401037299847</v>
      </c>
      <c r="G10" s="18">
        <v>6.7192729607656654</v>
      </c>
      <c r="H10" s="19"/>
      <c r="I10" s="20"/>
      <c r="J10" s="4"/>
      <c r="K10" s="4"/>
      <c r="L10" s="4"/>
      <c r="S10" s="2" t="s">
        <v>42</v>
      </c>
      <c r="T10" s="2">
        <v>2.5999999999999999E-2</v>
      </c>
      <c r="U10" s="2">
        <v>4.4499999999999998E-2</v>
      </c>
      <c r="V10" s="2">
        <v>0.57999999999999996</v>
      </c>
      <c r="W10" s="2">
        <v>0.56299999999999994</v>
      </c>
      <c r="X10" s="2" t="s">
        <v>43</v>
      </c>
    </row>
    <row r="11" spans="1:24" ht="16.2" thickBot="1" x14ac:dyDescent="0.35">
      <c r="A11" s="3" t="s">
        <v>16</v>
      </c>
      <c r="B11" s="12">
        <v>5.8907748064425141</v>
      </c>
      <c r="C11" s="5">
        <v>5</v>
      </c>
      <c r="D11" s="5">
        <v>4.038000737</v>
      </c>
      <c r="E11" s="5">
        <v>4.48419281852137</v>
      </c>
      <c r="F11" s="5">
        <v>4.3212489222681389</v>
      </c>
      <c r="G11" s="18">
        <v>3.6275817918094675</v>
      </c>
      <c r="H11" s="19"/>
      <c r="I11" s="20"/>
      <c r="J11" s="5"/>
      <c r="K11" s="5"/>
      <c r="L11" s="5"/>
      <c r="S11" s="2" t="s">
        <v>44</v>
      </c>
      <c r="T11" s="2">
        <v>0.36199999999999999</v>
      </c>
      <c r="U11" s="2">
        <v>0.11600000000000001</v>
      </c>
      <c r="V11" s="2">
        <v>3.11</v>
      </c>
      <c r="W11" s="2">
        <v>3.0000000000000001E-3</v>
      </c>
      <c r="X11" s="2">
        <v>10.69</v>
      </c>
    </row>
    <row r="12" spans="1:24" ht="16.2" thickBot="1" x14ac:dyDescent="0.35">
      <c r="A12" s="3" t="s">
        <v>27</v>
      </c>
      <c r="B12" s="21">
        <v>2.9008607930000001</v>
      </c>
      <c r="C12" s="22">
        <v>2.9009999999999998</v>
      </c>
      <c r="D12" s="22">
        <v>2.9013417000000001</v>
      </c>
      <c r="E12" s="22">
        <v>2.910799763</v>
      </c>
      <c r="F12" s="22">
        <v>2.8895741030000002</v>
      </c>
      <c r="G12" s="23">
        <v>2.9129230829999999</v>
      </c>
      <c r="H12" s="24"/>
      <c r="I12" s="25"/>
      <c r="J12" s="22"/>
      <c r="K12" s="22"/>
      <c r="L12" s="22"/>
      <c r="S12" s="2" t="s">
        <v>45</v>
      </c>
      <c r="T12" s="2">
        <v>-4.7699999999999999E-2</v>
      </c>
      <c r="U12" s="2">
        <v>5.8500000000000003E-2</v>
      </c>
      <c r="V12" s="2">
        <v>-0.82</v>
      </c>
      <c r="W12" s="2">
        <v>0.41899999999999998</v>
      </c>
      <c r="X12" s="2">
        <v>15.35</v>
      </c>
    </row>
    <row r="13" spans="1:24" ht="16.2" thickBot="1" x14ac:dyDescent="0.35">
      <c r="A13" s="3" t="s">
        <v>28</v>
      </c>
      <c r="B13" s="26"/>
      <c r="C13" s="27"/>
      <c r="D13" s="27"/>
      <c r="E13" s="27"/>
      <c r="F13" s="27"/>
      <c r="G13" s="28"/>
      <c r="H13" s="29"/>
      <c r="I13" s="30"/>
      <c r="J13" s="27"/>
      <c r="K13" s="27"/>
      <c r="L13" s="27"/>
      <c r="S13" s="2" t="s">
        <v>10</v>
      </c>
      <c r="T13" s="2">
        <v>1.8E-3</v>
      </c>
      <c r="U13" s="2">
        <v>6.2199999999999998E-2</v>
      </c>
      <c r="V13" s="2">
        <v>0.03</v>
      </c>
      <c r="W13" s="2">
        <v>0.97799999999999998</v>
      </c>
      <c r="X13" s="2">
        <v>20.91</v>
      </c>
    </row>
    <row r="14" spans="1:24" ht="16.2" thickBot="1" x14ac:dyDescent="0.35">
      <c r="A14" s="3" t="s">
        <v>17</v>
      </c>
      <c r="B14" s="31">
        <v>15.6</v>
      </c>
      <c r="C14" s="32">
        <v>16.899999999999999</v>
      </c>
      <c r="D14" s="32">
        <v>17</v>
      </c>
      <c r="E14" s="32">
        <v>17</v>
      </c>
      <c r="F14" s="32">
        <v>17.600000000000001</v>
      </c>
      <c r="G14" s="33">
        <v>18.399999999999999</v>
      </c>
      <c r="H14" s="34"/>
      <c r="I14" s="35"/>
      <c r="J14" s="6"/>
      <c r="K14" s="6"/>
      <c r="L14" s="6"/>
      <c r="S14" s="2" t="s">
        <v>11</v>
      </c>
      <c r="T14" s="2">
        <v>-4.1000000000000002E-2</v>
      </c>
      <c r="U14" s="2">
        <v>0.108</v>
      </c>
      <c r="V14" s="2">
        <v>-0.38</v>
      </c>
      <c r="W14" s="2">
        <v>0.70799999999999996</v>
      </c>
      <c r="X14" s="2">
        <v>59.34</v>
      </c>
    </row>
    <row r="15" spans="1:24" x14ac:dyDescent="0.3">
      <c r="A15" s="3" t="s">
        <v>18</v>
      </c>
      <c r="B15" s="7"/>
      <c r="C15" s="8">
        <f>($B$17+(C3-AVERAGE(B3:C3))*$B$18+(C4-AVERAGE(B4:C4))*$B$19+(C5-AVERAGE(B5:C5))*$B$20+(C6-AVERAGE(B6:C6))*$B$21+(C7-AVERAGE(B7:C7))*$B$22+(C8-AVERAGE(B8:C8))*$B$23
+(C9-AVERAGE(B9:C9))*$B$24+(C10-AVERAGE(B10:C10))*$B$25+(C11-AVERAGE(B11:C11))*$B$26+(C12-AVERAGE(B12:C12))*$B$27)*2+B14</f>
        <v>16.773536144746657</v>
      </c>
      <c r="D15" s="9">
        <f>(($B$17+(D3-AVERAGE(B3:D3))*$B$18+(D4-AVERAGE(B4:D4))*$B$19+(D5-AVERAGE(B5:D5))*$B$20+(D6-AVERAGE(B6:D6))*$B$21+(D7-AVERAGE(B7:D7))*$B$22+(D8-AVERAGE(B8:D8))*$B$23
+(D9-AVERAGE(B9:D9))*$B$24+(D10-AVERAGE(B10:D10))*$B$25+(D11-AVERAGE(B11:D11))*$B$26+(D12-AVERAGE(B12:D12))*$B$27)*3+C14+B14)/2</f>
        <v>17.568222607222374</v>
      </c>
      <c r="E15" s="10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+(E9-AVERAGE(B9:E9))*$B$24+(E10-AVERAGE(B10:E10))*$B$25+(E11-AVERAGE(B11:E11))*$B$26+(E12-AVERAGE(B12:E12))*$B$27)*4+D14+C14+B14)/3</f>
        <v>17.319080764253528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+(F9-AVERAGE(B9:F9))*$B$24+(F10-AVERAGE(B10:F10))*$B$25+(F11-AVERAGE(B11:F11))*$B$26+(F12-AVERAGE(B12:F12))*$B$27)*5+E14+D14+C14+B14)/4</f>
        <v>16.890264067014087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+(G9-AVERAGE(B9:G9))*$B$24+(G10-AVERAGE(B10:G10))*$B$25+(G11-AVERAGE(B11:G11))*$B$26+(G12-AVERAGE(B12:G12))*$B$27)*6+F14+E14+D14+C14+B14)/5</f>
        <v>18.009438242956556</v>
      </c>
      <c r="H15" s="9"/>
      <c r="I15" s="11"/>
      <c r="J15" s="9"/>
      <c r="K15" s="9"/>
      <c r="L15" s="9"/>
      <c r="S15" s="2" t="s">
        <v>12</v>
      </c>
      <c r="T15" s="2">
        <v>9.1999999999999998E-2</v>
      </c>
      <c r="U15" s="2">
        <v>0.20799999999999999</v>
      </c>
      <c r="V15" s="2">
        <v>0.44</v>
      </c>
      <c r="W15" s="2">
        <v>0.66100000000000003</v>
      </c>
      <c r="X15" s="2">
        <v>167.89</v>
      </c>
    </row>
    <row r="16" spans="1:24" x14ac:dyDescent="0.3">
      <c r="S16" s="2" t="s">
        <v>13</v>
      </c>
      <c r="T16" s="2">
        <v>-0.308</v>
      </c>
      <c r="U16" s="2">
        <v>0.254</v>
      </c>
      <c r="V16" s="2">
        <v>-1.21</v>
      </c>
      <c r="W16" s="2">
        <v>0.23300000000000001</v>
      </c>
      <c r="X16" s="2">
        <v>164.99</v>
      </c>
    </row>
    <row r="17" spans="1:24" x14ac:dyDescent="0.3">
      <c r="A17" s="2" t="s">
        <v>19</v>
      </c>
      <c r="B17" s="2">
        <v>2.5999999999999999E-2</v>
      </c>
      <c r="S17" s="2" t="s">
        <v>14</v>
      </c>
      <c r="T17" s="2">
        <v>0.85899999999999999</v>
      </c>
      <c r="U17" s="2">
        <v>0.32</v>
      </c>
      <c r="V17" s="2">
        <v>2.69</v>
      </c>
      <c r="W17" s="2">
        <v>0.01</v>
      </c>
      <c r="X17" s="2">
        <v>97.19</v>
      </c>
    </row>
    <row r="18" spans="1:24" x14ac:dyDescent="0.3">
      <c r="A18" s="3" t="s">
        <v>8</v>
      </c>
      <c r="B18" s="2">
        <v>0.36199999999999999</v>
      </c>
      <c r="S18" s="2" t="s">
        <v>15</v>
      </c>
      <c r="T18" s="2">
        <v>-0.29699999999999999</v>
      </c>
      <c r="U18" s="2">
        <v>0.56799999999999995</v>
      </c>
      <c r="V18" s="2">
        <v>-0.52</v>
      </c>
      <c r="W18" s="2">
        <v>0.60399999999999998</v>
      </c>
      <c r="X18" s="2">
        <v>91.75</v>
      </c>
    </row>
    <row r="19" spans="1:24" x14ac:dyDescent="0.3">
      <c r="A19" s="3" t="s">
        <v>9</v>
      </c>
      <c r="B19" s="2">
        <v>-4.7699999999999999E-2</v>
      </c>
      <c r="S19" s="2" t="s">
        <v>16</v>
      </c>
      <c r="T19" s="2">
        <v>-1.109</v>
      </c>
      <c r="U19" s="2">
        <v>0.47</v>
      </c>
      <c r="V19" s="2">
        <v>-2.36</v>
      </c>
      <c r="W19" s="2">
        <v>2.3E-2</v>
      </c>
      <c r="X19" s="2">
        <v>41.81</v>
      </c>
    </row>
    <row r="20" spans="1:24" x14ac:dyDescent="0.3">
      <c r="A20" s="3" t="s">
        <v>10</v>
      </c>
      <c r="B20" s="2">
        <v>1.8E-3</v>
      </c>
      <c r="S20" s="2" t="s">
        <v>27</v>
      </c>
      <c r="T20" s="2">
        <v>86</v>
      </c>
      <c r="U20" s="2">
        <v>18.2</v>
      </c>
      <c r="V20" s="2">
        <v>4.7300000000000004</v>
      </c>
      <c r="W20" s="2">
        <v>0</v>
      </c>
      <c r="X20" s="2">
        <v>17.37</v>
      </c>
    </row>
    <row r="21" spans="1:24" x14ac:dyDescent="0.3">
      <c r="A21" s="3" t="s">
        <v>11</v>
      </c>
      <c r="B21" s="2">
        <v>-4.1000000000000002E-2</v>
      </c>
    </row>
    <row r="22" spans="1:24" x14ac:dyDescent="0.3">
      <c r="A22" s="3" t="s">
        <v>12</v>
      </c>
      <c r="B22" s="2">
        <v>9.1999999999999998E-2</v>
      </c>
    </row>
    <row r="23" spans="1:24" x14ac:dyDescent="0.3">
      <c r="A23" s="3" t="s">
        <v>13</v>
      </c>
      <c r="B23" s="2">
        <v>-0.308</v>
      </c>
    </row>
    <row r="24" spans="1:24" x14ac:dyDescent="0.3">
      <c r="A24" s="3" t="s">
        <v>14</v>
      </c>
      <c r="B24" s="2">
        <v>0.85899999999999999</v>
      </c>
    </row>
    <row r="25" spans="1:24" x14ac:dyDescent="0.3">
      <c r="A25" s="3" t="s">
        <v>15</v>
      </c>
      <c r="B25" s="2">
        <v>-0.29699999999999999</v>
      </c>
    </row>
    <row r="26" spans="1:24" x14ac:dyDescent="0.3">
      <c r="A26" s="3" t="s">
        <v>16</v>
      </c>
      <c r="B26" s="2">
        <v>-1.109</v>
      </c>
    </row>
    <row r="27" spans="1:24" x14ac:dyDescent="0.3">
      <c r="A27" s="3" t="s">
        <v>27</v>
      </c>
      <c r="B27" s="2">
        <v>86</v>
      </c>
    </row>
    <row r="28" spans="1:24" x14ac:dyDescent="0.3">
      <c r="A28" s="3" t="s">
        <v>28</v>
      </c>
      <c r="B28" s="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DF1D5-9D3E-493A-89B9-A7AE8A9A8338}">
  <sheetPr codeName="Sheet5"/>
  <dimension ref="A1:L28"/>
  <sheetViews>
    <sheetView workbookViewId="0">
      <selection activeCell="H7" sqref="H7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5" width="10.44140625" style="2" bestFit="1" customWidth="1"/>
    <col min="6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</row>
    <row r="2" spans="1:12" ht="16.2" thickBot="1" x14ac:dyDescent="0.35">
      <c r="A2" s="3" t="s">
        <v>7</v>
      </c>
      <c r="B2">
        <v>100</v>
      </c>
      <c r="C2">
        <v>100</v>
      </c>
      <c r="D2">
        <v>100</v>
      </c>
      <c r="E2">
        <v>100</v>
      </c>
      <c r="F2" s="3"/>
      <c r="G2" s="3"/>
      <c r="H2" s="3"/>
      <c r="I2" s="3"/>
      <c r="J2" s="3"/>
      <c r="K2" s="3"/>
      <c r="L2" s="3"/>
    </row>
    <row r="3" spans="1:12" ht="16.2" thickBot="1" x14ac:dyDescent="0.35">
      <c r="A3" s="3" t="s">
        <v>8</v>
      </c>
      <c r="B3" s="36">
        <v>93.521804799167953</v>
      </c>
      <c r="C3" s="37">
        <v>93.521804799999998</v>
      </c>
      <c r="D3" s="38">
        <v>92.818457891649047</v>
      </c>
      <c r="E3" s="39">
        <v>92.966530924810925</v>
      </c>
      <c r="F3" s="5"/>
      <c r="G3" s="18"/>
      <c r="H3" s="19"/>
      <c r="I3" s="20"/>
      <c r="J3" s="4"/>
      <c r="K3" s="4"/>
      <c r="L3" s="4"/>
    </row>
    <row r="4" spans="1:12" ht="16.2" thickBot="1" x14ac:dyDescent="0.35">
      <c r="A4" s="3" t="s">
        <v>9</v>
      </c>
      <c r="B4" s="36">
        <v>73.962955557483113</v>
      </c>
      <c r="C4" s="37">
        <v>73.962955559999997</v>
      </c>
      <c r="D4" s="38">
        <v>71.293383116147268</v>
      </c>
      <c r="E4" s="39">
        <v>71.58927806129806</v>
      </c>
      <c r="F4" s="5"/>
      <c r="G4" s="18"/>
      <c r="H4" s="19"/>
      <c r="I4" s="20"/>
      <c r="J4" s="4"/>
      <c r="K4" s="4"/>
      <c r="L4" s="4"/>
    </row>
    <row r="5" spans="1:12" ht="16.2" thickBot="1" x14ac:dyDescent="0.35">
      <c r="A5" s="3" t="s">
        <v>10</v>
      </c>
      <c r="B5" s="36">
        <v>55.01142935761618</v>
      </c>
      <c r="C5" s="37">
        <v>55.127512279999998</v>
      </c>
      <c r="D5" s="38">
        <v>53.972162395858625</v>
      </c>
      <c r="E5" s="39">
        <v>48.32581812087853</v>
      </c>
      <c r="F5" s="5"/>
      <c r="G5" s="18"/>
      <c r="H5" s="19"/>
      <c r="I5" s="20"/>
      <c r="J5" s="4"/>
      <c r="K5" s="4"/>
      <c r="L5" s="4"/>
    </row>
    <row r="6" spans="1:12" ht="16.2" thickBot="1" x14ac:dyDescent="0.35">
      <c r="A6" s="3" t="s">
        <v>11</v>
      </c>
      <c r="B6" s="36">
        <v>38.843449699309161</v>
      </c>
      <c r="C6" s="37">
        <v>38.668819890000002</v>
      </c>
      <c r="D6" s="38">
        <v>37.997908298272307</v>
      </c>
      <c r="E6" s="39">
        <v>32.052176344679644</v>
      </c>
      <c r="F6" s="5"/>
      <c r="G6" s="18"/>
      <c r="H6" s="19"/>
      <c r="I6" s="20"/>
      <c r="J6" s="4"/>
      <c r="K6" s="4"/>
      <c r="L6" s="4"/>
    </row>
    <row r="7" spans="1:12" ht="16.2" thickBot="1" x14ac:dyDescent="0.35">
      <c r="A7" s="3" t="s">
        <v>12</v>
      </c>
      <c r="B7" s="36">
        <v>26.522078115539166</v>
      </c>
      <c r="C7" s="37">
        <v>25.985849829999999</v>
      </c>
      <c r="D7" s="38">
        <v>25.003604249640251</v>
      </c>
      <c r="E7" s="39">
        <v>20.947299434521124</v>
      </c>
      <c r="F7" s="5"/>
      <c r="G7" s="18"/>
      <c r="H7" s="19"/>
      <c r="I7" s="20"/>
      <c r="J7" s="4"/>
      <c r="K7" s="4"/>
      <c r="L7" s="4"/>
    </row>
    <row r="8" spans="1:12" ht="16.2" thickBot="1" x14ac:dyDescent="0.35">
      <c r="A8" s="3" t="s">
        <v>13</v>
      </c>
      <c r="B8" s="36">
        <v>18.964431761477396</v>
      </c>
      <c r="C8" s="37">
        <v>18.221443780000001</v>
      </c>
      <c r="D8" s="38">
        <v>17.198197249372672</v>
      </c>
      <c r="E8" s="39">
        <v>14.423906704104409</v>
      </c>
      <c r="F8" s="5"/>
      <c r="G8" s="18"/>
      <c r="H8" s="19"/>
      <c r="I8" s="20"/>
      <c r="J8" s="4"/>
      <c r="K8" s="4"/>
      <c r="L8" s="4"/>
    </row>
    <row r="9" spans="1:12" ht="16.2" thickBot="1" x14ac:dyDescent="0.35">
      <c r="A9" s="3" t="s">
        <v>14</v>
      </c>
      <c r="B9" s="36">
        <v>13.623416100149662</v>
      </c>
      <c r="C9" s="37">
        <v>12.605</v>
      </c>
      <c r="D9" s="38">
        <v>12.069944243798645</v>
      </c>
      <c r="E9" s="39">
        <v>10.119045431586166</v>
      </c>
      <c r="F9" s="5"/>
      <c r="G9" s="18"/>
      <c r="H9" s="19"/>
      <c r="I9" s="20"/>
      <c r="J9" s="4"/>
      <c r="K9" s="4"/>
      <c r="L9" s="4"/>
    </row>
    <row r="10" spans="1:12" ht="16.2" thickBot="1" x14ac:dyDescent="0.35">
      <c r="A10" s="3" t="s">
        <v>15</v>
      </c>
      <c r="B10" s="36">
        <v>9.368637067016504</v>
      </c>
      <c r="C10" s="37">
        <v>7.9145980199999997</v>
      </c>
      <c r="D10" s="38">
        <v>8.0839670003662416</v>
      </c>
      <c r="E10" s="39">
        <v>6.7192729607656654</v>
      </c>
      <c r="F10" s="5"/>
      <c r="G10" s="18"/>
      <c r="H10" s="19"/>
      <c r="I10" s="20"/>
      <c r="J10" s="4"/>
      <c r="K10" s="4"/>
      <c r="L10" s="4"/>
    </row>
    <row r="11" spans="1:12" ht="16.2" thickBot="1" x14ac:dyDescent="0.35">
      <c r="A11" s="3" t="s">
        <v>16</v>
      </c>
      <c r="B11" s="36">
        <v>5.8907748064425141</v>
      </c>
      <c r="C11" s="37">
        <v>4.038000737</v>
      </c>
      <c r="D11" s="38">
        <v>4.48419281852137</v>
      </c>
      <c r="E11" s="39">
        <v>3.6275817918094675</v>
      </c>
      <c r="F11" s="5"/>
      <c r="G11" s="18"/>
      <c r="H11" s="19"/>
      <c r="I11" s="20"/>
      <c r="J11" s="5"/>
      <c r="K11" s="5"/>
      <c r="L11" s="5"/>
    </row>
    <row r="12" spans="1:12" ht="16.2" thickBot="1" x14ac:dyDescent="0.35">
      <c r="A12" s="3" t="s">
        <v>27</v>
      </c>
      <c r="B12" s="40">
        <v>2.9008607930000001</v>
      </c>
      <c r="C12" s="23">
        <v>2.9013417000000001</v>
      </c>
      <c r="D12" s="23">
        <v>2.910799763</v>
      </c>
      <c r="E12" s="41">
        <v>2.9129230829999999</v>
      </c>
      <c r="F12" s="22"/>
      <c r="G12" s="23"/>
      <c r="H12" s="24"/>
      <c r="I12" s="25"/>
      <c r="J12" s="22"/>
      <c r="K12" s="22"/>
      <c r="L12" s="22"/>
    </row>
    <row r="13" spans="1:12" ht="16.2" thickBot="1" x14ac:dyDescent="0.35">
      <c r="A13" s="3" t="s">
        <v>28</v>
      </c>
      <c r="B13" s="42">
        <v>48.71</v>
      </c>
      <c r="C13" s="43">
        <v>48.29</v>
      </c>
      <c r="D13" s="43">
        <v>49.53</v>
      </c>
      <c r="E13" s="44">
        <v>48.5</v>
      </c>
      <c r="F13" s="27"/>
      <c r="G13" s="28"/>
      <c r="H13" s="29"/>
      <c r="I13" s="30"/>
      <c r="J13" s="27"/>
      <c r="K13" s="27"/>
      <c r="L13" s="27"/>
    </row>
    <row r="14" spans="1:12" ht="16.2" thickBot="1" x14ac:dyDescent="0.35">
      <c r="A14" s="3" t="s">
        <v>29</v>
      </c>
      <c r="B14" s="45">
        <v>3.8260000000000005</v>
      </c>
      <c r="C14" s="46">
        <v>3.1680000000000001</v>
      </c>
      <c r="D14" s="46">
        <v>3.3203333333333336</v>
      </c>
      <c r="E14" s="47">
        <v>3.3096666666666668</v>
      </c>
      <c r="F14" s="32"/>
      <c r="G14" s="33"/>
      <c r="H14" s="34"/>
      <c r="I14" s="35"/>
      <c r="J14" s="6"/>
      <c r="K14" s="6"/>
      <c r="L14" s="6"/>
    </row>
    <row r="15" spans="1:12" x14ac:dyDescent="0.3">
      <c r="A15" s="3" t="s">
        <v>30</v>
      </c>
      <c r="B15" s="7">
        <f>B14</f>
        <v>3.8260000000000005</v>
      </c>
      <c r="C15" s="8">
        <f>($B$17+(C3-AVERAGE(B3:C3))*$B$18+(C4-AVERAGE(B4:C4))*$B$19+(C5-AVERAGE(B5:C5))*$B$20+(C6-AVERAGE(B6:C6))*$B$21+(C7-AVERAGE(B7:C7))*$B$22+(C8-AVERAGE(B8:C8))*$B$23
+(C9-AVERAGE(B9:C9))*$B$24+(C10-AVERAGE(B10:C10))*$B$25+(C11-AVERAGE(B11:C11))*$B$26+(C12-AVERAGE(B12:C12))*$B$27+(C13-AVERAGE(B13:C13))*$B$28)*2+B14</f>
        <v>4.4685240734483385</v>
      </c>
      <c r="D15" s="9">
        <f>(($B$17+(D3-AVERAGE(B3:D3))*$B$18+(D4-AVERAGE(B4:D4))*$B$19+(D5-AVERAGE(B5:D5))*$B$20+(D6-AVERAGE(B6:D6))*$B$21+(D7-AVERAGE(B7:D7))*$B$22+(D8-AVERAGE(B8:D8))*$B$23
+(D9-AVERAGE(B9:D9))*$B$24+(D10-AVERAGE(B10:D10))*$B$25+(D11-AVERAGE(B11:D11))*$B$26+(D12-AVERAGE(B12:D12))*$B$27+(D13-AVERAGE(B13:D13))*$B$28)*3+C14+B14)/2</f>
        <v>3.7538955932578775</v>
      </c>
      <c r="E15" s="11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2.7863824187240791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140.20083442612409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134.04784104907912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129.94584546438247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127.01584861817059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124.81835098351168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123.10918615655474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121.74185429498918</v>
      </c>
    </row>
    <row r="17" spans="1:2" x14ac:dyDescent="0.3">
      <c r="A17" s="2" t="s">
        <v>19</v>
      </c>
      <c r="B17" s="2">
        <v>-9.1000000000000004E-3</v>
      </c>
    </row>
    <row r="18" spans="1:2" x14ac:dyDescent="0.3">
      <c r="A18" s="3" t="s">
        <v>8</v>
      </c>
      <c r="B18" s="2">
        <v>0.33100000000000002</v>
      </c>
    </row>
    <row r="19" spans="1:2" x14ac:dyDescent="0.3">
      <c r="A19" s="3" t="s">
        <v>9</v>
      </c>
      <c r="B19" s="2">
        <v>-0.32600000000000001</v>
      </c>
    </row>
    <row r="20" spans="1:2" x14ac:dyDescent="0.3">
      <c r="A20" s="3" t="s">
        <v>10</v>
      </c>
      <c r="B20" s="2">
        <v>0.28499999999999998</v>
      </c>
    </row>
    <row r="21" spans="1:2" x14ac:dyDescent="0.3">
      <c r="A21" s="3" t="s">
        <v>11</v>
      </c>
      <c r="B21" s="2">
        <v>-0.17399999999999999</v>
      </c>
    </row>
    <row r="22" spans="1:2" x14ac:dyDescent="0.3">
      <c r="A22" s="3" t="s">
        <v>12</v>
      </c>
      <c r="B22" s="2">
        <v>-0.73399999999999999</v>
      </c>
    </row>
    <row r="23" spans="1:2" x14ac:dyDescent="0.3">
      <c r="A23" s="3" t="s">
        <v>13</v>
      </c>
      <c r="B23" s="2">
        <v>1.7090000000000001</v>
      </c>
    </row>
    <row r="24" spans="1:2" x14ac:dyDescent="0.3">
      <c r="A24" s="3" t="s">
        <v>14</v>
      </c>
      <c r="B24" s="2">
        <v>-0.89300000000000002</v>
      </c>
    </row>
    <row r="25" spans="1:2" x14ac:dyDescent="0.3">
      <c r="A25" s="3" t="s">
        <v>15</v>
      </c>
      <c r="B25" s="2">
        <v>-0.21199999999999999</v>
      </c>
    </row>
    <row r="26" spans="1:2" x14ac:dyDescent="0.3">
      <c r="A26" s="3" t="s">
        <v>16</v>
      </c>
      <c r="B26" s="2">
        <v>-0.28299999999999997</v>
      </c>
    </row>
    <row r="27" spans="1:2" x14ac:dyDescent="0.3">
      <c r="A27" s="3" t="s">
        <v>27</v>
      </c>
      <c r="B27" s="2">
        <v>-52</v>
      </c>
    </row>
    <row r="28" spans="1:2" x14ac:dyDescent="0.3">
      <c r="A28" s="3" t="s">
        <v>28</v>
      </c>
      <c r="B28" s="2">
        <v>0.57999999999999996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5150E-436B-45DB-B758-88D44E023A27}">
  <sheetPr codeName="Sheet10"/>
  <dimension ref="A1:L28"/>
  <sheetViews>
    <sheetView topLeftCell="A9" workbookViewId="0">
      <selection activeCell="B28" sqref="B28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5" width="10.44140625" style="2" bestFit="1" customWidth="1"/>
    <col min="6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</row>
    <row r="2" spans="1:12" ht="16.2" thickBot="1" x14ac:dyDescent="0.35">
      <c r="A2" s="3" t="s">
        <v>7</v>
      </c>
      <c r="B2">
        <v>100</v>
      </c>
      <c r="C2">
        <v>100</v>
      </c>
      <c r="D2">
        <v>100</v>
      </c>
      <c r="E2">
        <v>100</v>
      </c>
      <c r="F2" s="3"/>
      <c r="G2" s="3"/>
      <c r="H2" s="3"/>
      <c r="I2" s="3"/>
      <c r="J2" s="3"/>
      <c r="K2" s="3"/>
      <c r="L2" s="3"/>
    </row>
    <row r="3" spans="1:12" ht="16.2" thickBot="1" x14ac:dyDescent="0.35">
      <c r="A3" s="3" t="s">
        <v>8</v>
      </c>
      <c r="B3" s="36">
        <v>93.521804799167953</v>
      </c>
      <c r="C3" s="37">
        <v>93.521804799999998</v>
      </c>
      <c r="D3" s="38">
        <v>92.818457891649047</v>
      </c>
      <c r="E3" s="39">
        <v>92.966530924810925</v>
      </c>
      <c r="F3" s="5"/>
      <c r="G3" s="18"/>
      <c r="H3" s="19"/>
      <c r="I3" s="20"/>
      <c r="J3" s="4"/>
      <c r="K3" s="4"/>
      <c r="L3" s="4"/>
    </row>
    <row r="4" spans="1:12" ht="16.2" thickBot="1" x14ac:dyDescent="0.35">
      <c r="A4" s="3" t="s">
        <v>9</v>
      </c>
      <c r="B4" s="36">
        <v>73.962955557483113</v>
      </c>
      <c r="C4" s="37">
        <v>73.962955559999997</v>
      </c>
      <c r="D4" s="38">
        <v>71.293383116147268</v>
      </c>
      <c r="E4" s="39">
        <v>71.58927806129806</v>
      </c>
      <c r="F4" s="5"/>
      <c r="G4" s="18"/>
      <c r="H4" s="19"/>
      <c r="I4" s="20"/>
      <c r="J4" s="4"/>
      <c r="K4" s="4"/>
      <c r="L4" s="4"/>
    </row>
    <row r="5" spans="1:12" ht="16.2" thickBot="1" x14ac:dyDescent="0.35">
      <c r="A5" s="3" t="s">
        <v>10</v>
      </c>
      <c r="B5" s="36">
        <v>55.01142935761618</v>
      </c>
      <c r="C5" s="37">
        <v>55.127512279999998</v>
      </c>
      <c r="D5" s="38">
        <v>53.972162395858625</v>
      </c>
      <c r="E5" s="39">
        <v>48.32581812087853</v>
      </c>
      <c r="F5" s="5"/>
      <c r="G5" s="18"/>
      <c r="H5" s="19"/>
      <c r="I5" s="20"/>
      <c r="J5" s="4"/>
      <c r="K5" s="4"/>
      <c r="L5" s="4"/>
    </row>
    <row r="6" spans="1:12" ht="16.2" thickBot="1" x14ac:dyDescent="0.35">
      <c r="A6" s="3" t="s">
        <v>11</v>
      </c>
      <c r="B6" s="36">
        <v>38.843449699309161</v>
      </c>
      <c r="C6" s="37">
        <v>38.668819890000002</v>
      </c>
      <c r="D6" s="38">
        <v>37.997908298272307</v>
      </c>
      <c r="E6" s="39">
        <v>32.052176344679644</v>
      </c>
      <c r="F6" s="5"/>
      <c r="G6" s="18"/>
      <c r="H6" s="19"/>
      <c r="I6" s="20"/>
      <c r="J6" s="4"/>
      <c r="K6" s="4"/>
      <c r="L6" s="4"/>
    </row>
    <row r="7" spans="1:12" ht="16.2" thickBot="1" x14ac:dyDescent="0.35">
      <c r="A7" s="3" t="s">
        <v>12</v>
      </c>
      <c r="B7" s="36">
        <v>26.522078115539166</v>
      </c>
      <c r="C7" s="37">
        <v>25.985849829999999</v>
      </c>
      <c r="D7" s="38">
        <v>25.003604249640251</v>
      </c>
      <c r="E7" s="39">
        <v>20.947299434521124</v>
      </c>
      <c r="F7" s="5"/>
      <c r="G7" s="18"/>
      <c r="H7" s="19"/>
      <c r="I7" s="20"/>
      <c r="J7" s="4"/>
      <c r="K7" s="4"/>
      <c r="L7" s="4"/>
    </row>
    <row r="8" spans="1:12" ht="16.2" thickBot="1" x14ac:dyDescent="0.35">
      <c r="A8" s="3" t="s">
        <v>13</v>
      </c>
      <c r="B8" s="36">
        <v>18.964431761477396</v>
      </c>
      <c r="C8" s="37">
        <v>18.221443780000001</v>
      </c>
      <c r="D8" s="38">
        <v>17.198197249372672</v>
      </c>
      <c r="E8" s="39">
        <v>14.423906704104409</v>
      </c>
      <c r="F8" s="5"/>
      <c r="G8" s="18"/>
      <c r="H8" s="19"/>
      <c r="I8" s="20"/>
      <c r="J8" s="4"/>
      <c r="K8" s="4"/>
      <c r="L8" s="4"/>
    </row>
    <row r="9" spans="1:12" ht="16.2" thickBot="1" x14ac:dyDescent="0.35">
      <c r="A9" s="3" t="s">
        <v>14</v>
      </c>
      <c r="B9" s="36">
        <v>13.623416100149662</v>
      </c>
      <c r="C9" s="37">
        <v>12.605</v>
      </c>
      <c r="D9" s="38">
        <v>12.069944243798645</v>
      </c>
      <c r="E9" s="39">
        <v>10.119045431586166</v>
      </c>
      <c r="F9" s="5"/>
      <c r="G9" s="18"/>
      <c r="H9" s="19"/>
      <c r="I9" s="20"/>
      <c r="J9" s="4"/>
      <c r="K9" s="4"/>
      <c r="L9" s="4"/>
    </row>
    <row r="10" spans="1:12" ht="16.2" thickBot="1" x14ac:dyDescent="0.35">
      <c r="A10" s="3" t="s">
        <v>15</v>
      </c>
      <c r="B10" s="36">
        <v>9.368637067016504</v>
      </c>
      <c r="C10" s="37">
        <v>7.9145980199999997</v>
      </c>
      <c r="D10" s="38">
        <v>8.0839670003662416</v>
      </c>
      <c r="E10" s="39">
        <v>6.7192729607656654</v>
      </c>
      <c r="F10" s="5"/>
      <c r="G10" s="18"/>
      <c r="H10" s="19"/>
      <c r="I10" s="20"/>
      <c r="J10" s="4"/>
      <c r="K10" s="4"/>
      <c r="L10" s="4"/>
    </row>
    <row r="11" spans="1:12" ht="16.2" thickBot="1" x14ac:dyDescent="0.35">
      <c r="A11" s="3" t="s">
        <v>16</v>
      </c>
      <c r="B11" s="36">
        <v>5.8907748064425141</v>
      </c>
      <c r="C11" s="37">
        <v>4.038000737</v>
      </c>
      <c r="D11" s="38">
        <v>4.48419281852137</v>
      </c>
      <c r="E11" s="39">
        <v>3.6275817918094675</v>
      </c>
      <c r="F11" s="5"/>
      <c r="G11" s="18"/>
      <c r="H11" s="19"/>
      <c r="I11" s="20"/>
      <c r="J11" s="5"/>
      <c r="K11" s="5"/>
      <c r="L11" s="5"/>
    </row>
    <row r="12" spans="1:12" ht="16.2" thickBot="1" x14ac:dyDescent="0.35">
      <c r="A12" s="3" t="s">
        <v>27</v>
      </c>
      <c r="B12" s="40">
        <v>2.9008607930000001</v>
      </c>
      <c r="C12" s="23">
        <v>2.9013417000000001</v>
      </c>
      <c r="D12" s="23">
        <v>2.910799763</v>
      </c>
      <c r="E12" s="41">
        <v>2.9129230829999999</v>
      </c>
      <c r="F12" s="22"/>
      <c r="G12" s="23"/>
      <c r="H12" s="24"/>
      <c r="I12" s="25"/>
      <c r="J12" s="22"/>
      <c r="K12" s="22"/>
      <c r="L12" s="22"/>
    </row>
    <row r="13" spans="1:12" ht="16.2" thickBot="1" x14ac:dyDescent="0.35">
      <c r="A13" s="3" t="s">
        <v>28</v>
      </c>
      <c r="B13" s="42">
        <v>48.71</v>
      </c>
      <c r="C13" s="43">
        <v>48.29</v>
      </c>
      <c r="D13" s="43">
        <v>49.53</v>
      </c>
      <c r="E13" s="44">
        <v>48.5</v>
      </c>
      <c r="F13" s="27"/>
      <c r="G13" s="28"/>
      <c r="H13" s="29"/>
      <c r="I13" s="30"/>
      <c r="J13" s="27"/>
      <c r="K13" s="27"/>
      <c r="L13" s="27"/>
    </row>
    <row r="14" spans="1:12" ht="16.2" thickBot="1" x14ac:dyDescent="0.35">
      <c r="A14" s="3" t="s">
        <v>29</v>
      </c>
      <c r="B14" s="45">
        <v>3.8260000000000005</v>
      </c>
      <c r="C14" s="46">
        <v>3.1680000000000001</v>
      </c>
      <c r="D14" s="46">
        <v>3.3203333333333336</v>
      </c>
      <c r="E14" s="47">
        <v>3.3096666666666668</v>
      </c>
      <c r="F14" s="32"/>
      <c r="G14" s="33"/>
      <c r="H14" s="34"/>
      <c r="I14" s="35"/>
      <c r="J14" s="6"/>
      <c r="K14" s="6"/>
      <c r="L14" s="6"/>
    </row>
    <row r="15" spans="1:12" x14ac:dyDescent="0.3">
      <c r="A15" s="3" t="s">
        <v>30</v>
      </c>
      <c r="B15" s="7">
        <f>B14</f>
        <v>3.8260000000000005</v>
      </c>
      <c r="C15" s="8">
        <f>($B$17+(C3-AVERAGE(B3:C3))*$B$18+(C4-AVERAGE(B4:C4))*$B$19+(C5-AVERAGE(B5:C5))*$B$20+(C6-AVERAGE(B6:C6))*$B$21+(C7-AVERAGE(B7:C7))*$B$22+(C8-AVERAGE(B8:C8))*$B$23
+(C9-AVERAGE(B9:C9))*$B$24+(C10-AVERAGE(B10:C10))*$B$25+(C11-AVERAGE(B11:C11))*$B$26+(C12-AVERAGE(B12:C12))*$B$27+(C13-AVERAGE(B13:C13))*$B$28)*2+B14</f>
        <v>4.9029809770895625</v>
      </c>
      <c r="D15" s="9">
        <f>(($B$17+(D3-AVERAGE(B3:D3))*$B$18+(D4-AVERAGE(B4:D4))*$B$19+(D5-AVERAGE(B5:D5))*$B$20+(D6-AVERAGE(B6:D6))*$B$21+(D7-AVERAGE(B7:D7))*$B$22+(D8-AVERAGE(B8:D8))*$B$23
+(D9-AVERAGE(B9:D9))*$B$24+(D10-AVERAGE(B10:D10))*$B$25+(D11-AVERAGE(B11:D11))*$B$26+(D12-AVERAGE(B12:D12))*$B$27+(D13-AVERAGE(B13:D13))*$B$28)*3+C14+B14)/2</f>
        <v>3.4582897358642928</v>
      </c>
      <c r="E15" s="11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3.1771182171242174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90.464914296065885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86.301357724223251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83.525653342994829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81.543007356403095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80.056022866459301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78.899479374280787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77.97424458053797</v>
      </c>
    </row>
    <row r="17" spans="1:2" x14ac:dyDescent="0.3">
      <c r="A17" s="2" t="s">
        <v>19</v>
      </c>
      <c r="B17" s="2">
        <v>-1.3599999999999999E-2</v>
      </c>
    </row>
    <row r="18" spans="1:2" x14ac:dyDescent="0.3">
      <c r="A18" s="3" t="s">
        <v>8</v>
      </c>
      <c r="B18" s="2">
        <v>0.60299999999999998</v>
      </c>
    </row>
    <row r="19" spans="1:2" x14ac:dyDescent="0.3">
      <c r="A19" s="3" t="s">
        <v>9</v>
      </c>
      <c r="B19" s="2">
        <v>-0.44400000000000001</v>
      </c>
    </row>
    <row r="20" spans="1:2" x14ac:dyDescent="0.3">
      <c r="A20" s="3" t="s">
        <v>10</v>
      </c>
      <c r="B20" s="2">
        <v>0.378</v>
      </c>
    </row>
    <row r="21" spans="1:2" x14ac:dyDescent="0.3">
      <c r="A21" s="3" t="s">
        <v>11</v>
      </c>
      <c r="B21" s="2">
        <v>-0.192</v>
      </c>
    </row>
    <row r="22" spans="1:2" x14ac:dyDescent="0.3">
      <c r="A22" s="3" t="s">
        <v>12</v>
      </c>
      <c r="B22" s="2">
        <v>-0.98899999999999999</v>
      </c>
    </row>
    <row r="23" spans="1:2" x14ac:dyDescent="0.3">
      <c r="A23" s="3" t="s">
        <v>13</v>
      </c>
      <c r="B23" s="2">
        <v>2.113</v>
      </c>
    </row>
    <row r="24" spans="1:2" x14ac:dyDescent="0.3">
      <c r="A24" s="3" t="s">
        <v>14</v>
      </c>
      <c r="B24" s="2">
        <v>-1.37</v>
      </c>
    </row>
    <row r="25" spans="1:2" x14ac:dyDescent="0.3">
      <c r="A25" s="3" t="s">
        <v>15</v>
      </c>
      <c r="B25" s="2">
        <v>0.378</v>
      </c>
    </row>
    <row r="26" spans="1:2" x14ac:dyDescent="0.3">
      <c r="A26" s="3" t="s">
        <v>16</v>
      </c>
      <c r="B26" s="2">
        <v>-0.66800000000000004</v>
      </c>
    </row>
    <row r="27" spans="1:2" x14ac:dyDescent="0.3">
      <c r="A27" s="3" t="s">
        <v>27</v>
      </c>
      <c r="B27" s="2">
        <v>-35.1</v>
      </c>
    </row>
    <row r="28" spans="1:2" x14ac:dyDescent="0.3">
      <c r="A28" s="3" t="s">
        <v>28</v>
      </c>
      <c r="B28" s="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C78EA-EF82-4678-A5F1-9F7D136E5981}">
  <sheetPr codeName="Sheet6"/>
  <dimension ref="A1:L28"/>
  <sheetViews>
    <sheetView workbookViewId="0">
      <selection activeCell="A36" sqref="A36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5" width="10.44140625" style="2" bestFit="1" customWidth="1"/>
    <col min="6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</row>
    <row r="2" spans="1:12" ht="16.2" thickBot="1" x14ac:dyDescent="0.35">
      <c r="A2" s="3" t="s">
        <v>7</v>
      </c>
      <c r="B2">
        <v>100</v>
      </c>
      <c r="C2">
        <v>100</v>
      </c>
      <c r="D2">
        <v>100</v>
      </c>
      <c r="E2">
        <v>100</v>
      </c>
      <c r="F2" s="3"/>
      <c r="G2" s="3"/>
      <c r="H2" s="3"/>
      <c r="I2" s="3"/>
      <c r="J2" s="3"/>
      <c r="K2" s="3"/>
      <c r="L2" s="3"/>
    </row>
    <row r="3" spans="1:12" ht="16.2" thickBot="1" x14ac:dyDescent="0.35">
      <c r="A3" s="3" t="s">
        <v>8</v>
      </c>
      <c r="B3" s="36">
        <v>93.521804799167953</v>
      </c>
      <c r="C3" s="37">
        <v>93.521804799999998</v>
      </c>
      <c r="D3" s="38">
        <v>92.818457891649047</v>
      </c>
      <c r="E3" s="39">
        <v>92.966530924810925</v>
      </c>
      <c r="F3" s="5"/>
      <c r="G3" s="18"/>
      <c r="H3" s="19"/>
      <c r="I3" s="20"/>
      <c r="J3" s="4"/>
      <c r="K3" s="4"/>
      <c r="L3" s="4"/>
    </row>
    <row r="4" spans="1:12" ht="16.2" thickBot="1" x14ac:dyDescent="0.35">
      <c r="A4" s="3" t="s">
        <v>9</v>
      </c>
      <c r="B4" s="36">
        <v>73.962955557483113</v>
      </c>
      <c r="C4" s="37">
        <v>73.962955559999997</v>
      </c>
      <c r="D4" s="38">
        <v>71.293383116147268</v>
      </c>
      <c r="E4" s="39">
        <v>71.58927806129806</v>
      </c>
      <c r="F4" s="5"/>
      <c r="G4" s="18"/>
      <c r="H4" s="19"/>
      <c r="I4" s="20"/>
      <c r="J4" s="4"/>
      <c r="K4" s="4"/>
      <c r="L4" s="4"/>
    </row>
    <row r="5" spans="1:12" ht="16.2" thickBot="1" x14ac:dyDescent="0.35">
      <c r="A5" s="3" t="s">
        <v>10</v>
      </c>
      <c r="B5" s="36">
        <v>55.01142935761618</v>
      </c>
      <c r="C5" s="37">
        <v>55.127512279999998</v>
      </c>
      <c r="D5" s="38">
        <v>53.972162395858625</v>
      </c>
      <c r="E5" s="39">
        <v>48.32581812087853</v>
      </c>
      <c r="F5" s="5"/>
      <c r="G5" s="18"/>
      <c r="H5" s="19"/>
      <c r="I5" s="20"/>
      <c r="J5" s="4"/>
      <c r="K5" s="4"/>
      <c r="L5" s="4"/>
    </row>
    <row r="6" spans="1:12" ht="16.2" thickBot="1" x14ac:dyDescent="0.35">
      <c r="A6" s="3" t="s">
        <v>11</v>
      </c>
      <c r="B6" s="36">
        <v>38.843449699309161</v>
      </c>
      <c r="C6" s="37">
        <v>38.668819890000002</v>
      </c>
      <c r="D6" s="38">
        <v>37.997908298272307</v>
      </c>
      <c r="E6" s="39">
        <v>32.052176344679644</v>
      </c>
      <c r="F6" s="5"/>
      <c r="G6" s="18"/>
      <c r="H6" s="19"/>
      <c r="I6" s="20"/>
      <c r="J6" s="4"/>
      <c r="K6" s="4"/>
      <c r="L6" s="4"/>
    </row>
    <row r="7" spans="1:12" ht="16.2" thickBot="1" x14ac:dyDescent="0.35">
      <c r="A7" s="3" t="s">
        <v>12</v>
      </c>
      <c r="B7" s="36">
        <v>26.522078115539166</v>
      </c>
      <c r="C7" s="37">
        <v>25.985849829999999</v>
      </c>
      <c r="D7" s="38">
        <v>25.003604249640251</v>
      </c>
      <c r="E7" s="39">
        <v>20.947299434521124</v>
      </c>
      <c r="F7" s="5"/>
      <c r="G7" s="18"/>
      <c r="H7" s="19"/>
      <c r="I7" s="20"/>
      <c r="J7" s="4"/>
      <c r="K7" s="4"/>
      <c r="L7" s="4"/>
    </row>
    <row r="8" spans="1:12" ht="16.2" thickBot="1" x14ac:dyDescent="0.35">
      <c r="A8" s="3" t="s">
        <v>13</v>
      </c>
      <c r="B8" s="36">
        <v>18.964431761477396</v>
      </c>
      <c r="C8" s="37">
        <v>18.221443780000001</v>
      </c>
      <c r="D8" s="38">
        <v>17.198197249372672</v>
      </c>
      <c r="E8" s="39">
        <v>14.423906704104409</v>
      </c>
      <c r="F8" s="5"/>
      <c r="G8" s="18"/>
      <c r="H8" s="19"/>
      <c r="I8" s="20"/>
      <c r="J8" s="4"/>
      <c r="K8" s="4"/>
      <c r="L8" s="4"/>
    </row>
    <row r="9" spans="1:12" ht="16.2" thickBot="1" x14ac:dyDescent="0.35">
      <c r="A9" s="3" t="s">
        <v>14</v>
      </c>
      <c r="B9" s="36">
        <v>13.623416100149662</v>
      </c>
      <c r="C9" s="37">
        <v>12.605</v>
      </c>
      <c r="D9" s="38">
        <v>12.069944243798645</v>
      </c>
      <c r="E9" s="39">
        <v>10.119045431586166</v>
      </c>
      <c r="F9" s="5"/>
      <c r="G9" s="18"/>
      <c r="H9" s="19"/>
      <c r="I9" s="20"/>
      <c r="J9" s="4"/>
      <c r="K9" s="4"/>
      <c r="L9" s="4"/>
    </row>
    <row r="10" spans="1:12" ht="16.2" thickBot="1" x14ac:dyDescent="0.35">
      <c r="A10" s="3" t="s">
        <v>15</v>
      </c>
      <c r="B10" s="36">
        <v>9.368637067016504</v>
      </c>
      <c r="C10" s="37">
        <v>7.9145980199999997</v>
      </c>
      <c r="D10" s="38">
        <v>8.0839670003662416</v>
      </c>
      <c r="E10" s="39">
        <v>6.7192729607656654</v>
      </c>
      <c r="F10" s="5"/>
      <c r="G10" s="18"/>
      <c r="H10" s="19"/>
      <c r="I10" s="20"/>
      <c r="J10" s="4"/>
      <c r="K10" s="4"/>
      <c r="L10" s="4"/>
    </row>
    <row r="11" spans="1:12" ht="16.2" thickBot="1" x14ac:dyDescent="0.35">
      <c r="A11" s="3" t="s">
        <v>16</v>
      </c>
      <c r="B11" s="36">
        <v>5.8907748064425141</v>
      </c>
      <c r="C11" s="37">
        <v>4.038000737</v>
      </c>
      <c r="D11" s="38">
        <v>4.48419281852137</v>
      </c>
      <c r="E11" s="39">
        <v>3.6275817918094675</v>
      </c>
      <c r="F11" s="5"/>
      <c r="G11" s="18"/>
      <c r="H11" s="19"/>
      <c r="I11" s="20"/>
      <c r="J11" s="5"/>
      <c r="K11" s="5"/>
      <c r="L11" s="5"/>
    </row>
    <row r="12" spans="1:12" ht="16.2" thickBot="1" x14ac:dyDescent="0.35">
      <c r="A12" s="3" t="s">
        <v>27</v>
      </c>
      <c r="B12" s="40">
        <v>2.9008607930000001</v>
      </c>
      <c r="C12" s="23">
        <v>2.9013417000000001</v>
      </c>
      <c r="D12" s="23">
        <v>2.910799763</v>
      </c>
      <c r="E12" s="41">
        <v>2.9129230829999999</v>
      </c>
      <c r="F12" s="22"/>
      <c r="G12" s="23"/>
      <c r="H12" s="24"/>
      <c r="I12" s="25"/>
      <c r="J12" s="22"/>
      <c r="K12" s="22"/>
      <c r="L12" s="22"/>
    </row>
    <row r="13" spans="1:12" ht="16.2" thickBot="1" x14ac:dyDescent="0.35">
      <c r="A13" s="3" t="s">
        <v>28</v>
      </c>
      <c r="B13" s="42">
        <v>48.71</v>
      </c>
      <c r="C13" s="43">
        <v>48.29</v>
      </c>
      <c r="D13" s="43">
        <v>49.53</v>
      </c>
      <c r="E13" s="44">
        <v>48.5</v>
      </c>
      <c r="F13" s="27"/>
      <c r="G13" s="28"/>
      <c r="H13" s="29"/>
      <c r="I13" s="30"/>
      <c r="J13" s="27"/>
      <c r="K13" s="27"/>
      <c r="L13" s="27"/>
    </row>
    <row r="14" spans="1:12" ht="16.2" thickBot="1" x14ac:dyDescent="0.35">
      <c r="A14" s="3" t="s">
        <v>31</v>
      </c>
      <c r="B14" s="48">
        <v>242.5</v>
      </c>
      <c r="C14" s="34">
        <v>244.57499999999999</v>
      </c>
      <c r="D14" s="34">
        <v>272.625</v>
      </c>
      <c r="E14" s="35">
        <v>337.22500000000002</v>
      </c>
      <c r="F14" s="32"/>
      <c r="G14" s="33"/>
      <c r="H14" s="34"/>
      <c r="I14" s="35"/>
      <c r="J14" s="6"/>
      <c r="K14" s="6"/>
      <c r="L14" s="6"/>
    </row>
    <row r="15" spans="1:12" x14ac:dyDescent="0.3">
      <c r="A15" s="3" t="s">
        <v>32</v>
      </c>
      <c r="B15" s="7">
        <f>B14</f>
        <v>242.5</v>
      </c>
      <c r="C15" s="8">
        <f>($B$17+(C3-AVERAGE(B3:C3))*$B$18+(C4-AVERAGE(B4:C4))*$B$19+(C5-AVERAGE(B5:C5))*$B$20+(C6-AVERAGE(B6:C6))*$B$21+(C7-AVERAGE(B7:C7))*$B$22+(C8-AVERAGE(B8:C8))*$B$23
+(C9-AVERAGE(B9:C9))*$B$24+(C10-AVERAGE(B10:C10))*$B$25+(C11-AVERAGE(B11:C11))*$B$26+(C12-AVERAGE(B12:C12))*$B$27+(C13-AVERAGE(B13:C13))*$B$28)*2+B14</f>
        <v>262.26742325624065</v>
      </c>
      <c r="D15" s="9">
        <f>(($B$17+(D3-AVERAGE(B3:D3))*$B$18+(D4-AVERAGE(B4:D4))*$B$19+(D5-AVERAGE(B5:D5))*$B$20+(D6-AVERAGE(B6:D6))*$B$21+(D7-AVERAGE(B7:D7))*$B$22+(D8-AVERAGE(B8:D8))*$B$23
+(D9-AVERAGE(B9:D9))*$B$24+(D10-AVERAGE(B10:D10))*$B$25+(D11-AVERAGE(B11:D11))*$B$26+(D12-AVERAGE(B12:D12))*$B$27+(D13-AVERAGE(B13:D13))*$B$28)*3+C14+B14)/2</f>
        <v>251.83122512325284</v>
      </c>
      <c r="E15" s="11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306.82495153082931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-10335.523221123754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-9965.9792922788056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-9719.6166730488385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-9543.6433735988594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-9411.6633990113787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-9309.0123076655582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-9226.8914345889025</v>
      </c>
    </row>
    <row r="17" spans="1:2" x14ac:dyDescent="0.3">
      <c r="A17" s="2" t="s">
        <v>19</v>
      </c>
      <c r="B17" s="2">
        <v>0.04</v>
      </c>
    </row>
    <row r="18" spans="1:2" x14ac:dyDescent="0.3">
      <c r="A18" s="3" t="s">
        <v>8</v>
      </c>
      <c r="B18" s="2">
        <v>4.05</v>
      </c>
    </row>
    <row r="19" spans="1:2" x14ac:dyDescent="0.3">
      <c r="A19" s="3" t="s">
        <v>9</v>
      </c>
      <c r="B19" s="2">
        <v>-4.66</v>
      </c>
    </row>
    <row r="20" spans="1:2" x14ac:dyDescent="0.3">
      <c r="A20" s="3" t="s">
        <v>10</v>
      </c>
      <c r="B20" s="2">
        <v>27.68</v>
      </c>
    </row>
    <row r="21" spans="1:2" x14ac:dyDescent="0.3">
      <c r="A21" s="3" t="s">
        <v>11</v>
      </c>
      <c r="B21" s="2">
        <v>-43.12</v>
      </c>
    </row>
    <row r="22" spans="1:2" x14ac:dyDescent="0.3">
      <c r="A22" s="3" t="s">
        <v>12</v>
      </c>
      <c r="B22" s="2">
        <v>16.100000000000001</v>
      </c>
    </row>
    <row r="23" spans="1:2" x14ac:dyDescent="0.3">
      <c r="A23" s="3" t="s">
        <v>13</v>
      </c>
      <c r="B23" s="2">
        <v>16.5</v>
      </c>
    </row>
    <row r="24" spans="1:2" x14ac:dyDescent="0.3">
      <c r="A24" s="3" t="s">
        <v>14</v>
      </c>
      <c r="B24" s="2">
        <v>-32.200000000000003</v>
      </c>
    </row>
    <row r="25" spans="1:2" x14ac:dyDescent="0.3">
      <c r="A25" s="3" t="s">
        <v>15</v>
      </c>
      <c r="B25" s="2">
        <v>29.1</v>
      </c>
    </row>
    <row r="26" spans="1:2" x14ac:dyDescent="0.3">
      <c r="A26" s="3" t="s">
        <v>16</v>
      </c>
      <c r="B26" s="2">
        <v>-17</v>
      </c>
    </row>
    <row r="27" spans="1:2" x14ac:dyDescent="0.3">
      <c r="A27" s="3" t="s">
        <v>27</v>
      </c>
      <c r="B27" s="2">
        <v>3050</v>
      </c>
    </row>
    <row r="28" spans="1:2" x14ac:dyDescent="0.3">
      <c r="A28" s="3" t="s">
        <v>28</v>
      </c>
      <c r="B28" s="2">
        <v>-15.22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D4AE2F-79C2-40B6-A3A8-BA43863ECB55}">
  <sheetPr codeName="Sheet11"/>
  <dimension ref="A1:L28"/>
  <sheetViews>
    <sheetView topLeftCell="A9" workbookViewId="0">
      <selection activeCell="H27" sqref="H27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5" width="10.44140625" style="2" bestFit="1" customWidth="1"/>
    <col min="6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</row>
    <row r="2" spans="1:12" ht="16.2" thickBot="1" x14ac:dyDescent="0.35">
      <c r="A2" s="3" t="s">
        <v>7</v>
      </c>
      <c r="B2">
        <v>100</v>
      </c>
      <c r="C2">
        <v>100</v>
      </c>
      <c r="D2">
        <v>100</v>
      </c>
      <c r="E2">
        <v>100</v>
      </c>
      <c r="F2" s="3"/>
      <c r="G2" s="3"/>
      <c r="H2" s="3"/>
      <c r="I2" s="3"/>
      <c r="J2" s="3"/>
      <c r="K2" s="3"/>
      <c r="L2" s="3"/>
    </row>
    <row r="3" spans="1:12" ht="16.2" thickBot="1" x14ac:dyDescent="0.35">
      <c r="A3" s="3" t="s">
        <v>8</v>
      </c>
      <c r="B3" s="36">
        <v>93.521804799167953</v>
      </c>
      <c r="C3" s="37">
        <v>93.521804799999998</v>
      </c>
      <c r="D3" s="38">
        <v>92.818457891649047</v>
      </c>
      <c r="E3" s="39">
        <v>92.966530924810925</v>
      </c>
      <c r="F3" s="5"/>
      <c r="G3" s="18"/>
      <c r="H3" s="19"/>
      <c r="I3" s="20"/>
      <c r="J3" s="4"/>
      <c r="K3" s="4"/>
      <c r="L3" s="4"/>
    </row>
    <row r="4" spans="1:12" ht="16.2" thickBot="1" x14ac:dyDescent="0.35">
      <c r="A4" s="3" t="s">
        <v>9</v>
      </c>
      <c r="B4" s="36">
        <v>73.962955557483113</v>
      </c>
      <c r="C4" s="37">
        <v>73.962955559999997</v>
      </c>
      <c r="D4" s="38">
        <v>71.293383116147268</v>
      </c>
      <c r="E4" s="39">
        <v>71.58927806129806</v>
      </c>
      <c r="F4" s="5"/>
      <c r="G4" s="18"/>
      <c r="H4" s="19"/>
      <c r="I4" s="20"/>
      <c r="J4" s="4"/>
      <c r="K4" s="4"/>
      <c r="L4" s="4"/>
    </row>
    <row r="5" spans="1:12" ht="16.2" thickBot="1" x14ac:dyDescent="0.35">
      <c r="A5" s="3" t="s">
        <v>10</v>
      </c>
      <c r="B5" s="36">
        <v>55.01142935761618</v>
      </c>
      <c r="C5" s="37">
        <v>55.127512279999998</v>
      </c>
      <c r="D5" s="38">
        <v>53.972162395858625</v>
      </c>
      <c r="E5" s="39">
        <v>48.32581812087853</v>
      </c>
      <c r="F5" s="5"/>
      <c r="G5" s="18"/>
      <c r="H5" s="19"/>
      <c r="I5" s="20"/>
      <c r="J5" s="4"/>
      <c r="K5" s="4"/>
      <c r="L5" s="4"/>
    </row>
    <row r="6" spans="1:12" ht="16.2" thickBot="1" x14ac:dyDescent="0.35">
      <c r="A6" s="3" t="s">
        <v>11</v>
      </c>
      <c r="B6" s="36">
        <v>38.843449699309161</v>
      </c>
      <c r="C6" s="37">
        <v>38.668819890000002</v>
      </c>
      <c r="D6" s="38">
        <v>37.997908298272307</v>
      </c>
      <c r="E6" s="39">
        <v>32.052176344679644</v>
      </c>
      <c r="F6" s="5"/>
      <c r="G6" s="18"/>
      <c r="H6" s="19"/>
      <c r="I6" s="20"/>
      <c r="J6" s="4"/>
      <c r="K6" s="4"/>
      <c r="L6" s="4"/>
    </row>
    <row r="7" spans="1:12" ht="16.2" thickBot="1" x14ac:dyDescent="0.35">
      <c r="A7" s="3" t="s">
        <v>12</v>
      </c>
      <c r="B7" s="36">
        <v>26.522078115539166</v>
      </c>
      <c r="C7" s="37">
        <v>25.985849829999999</v>
      </c>
      <c r="D7" s="38">
        <v>25.003604249640251</v>
      </c>
      <c r="E7" s="39">
        <v>20.947299434521124</v>
      </c>
      <c r="F7" s="5"/>
      <c r="G7" s="18"/>
      <c r="H7" s="19"/>
      <c r="I7" s="20"/>
      <c r="J7" s="4"/>
      <c r="K7" s="4"/>
      <c r="L7" s="4"/>
    </row>
    <row r="8" spans="1:12" ht="16.2" thickBot="1" x14ac:dyDescent="0.35">
      <c r="A8" s="3" t="s">
        <v>13</v>
      </c>
      <c r="B8" s="36">
        <v>18.964431761477396</v>
      </c>
      <c r="C8" s="37">
        <v>18.221443780000001</v>
      </c>
      <c r="D8" s="38">
        <v>17.198197249372672</v>
      </c>
      <c r="E8" s="39">
        <v>14.423906704104409</v>
      </c>
      <c r="F8" s="5"/>
      <c r="G8" s="18"/>
      <c r="H8" s="19"/>
      <c r="I8" s="20"/>
      <c r="J8" s="4"/>
      <c r="K8" s="4"/>
      <c r="L8" s="4"/>
    </row>
    <row r="9" spans="1:12" ht="16.2" thickBot="1" x14ac:dyDescent="0.35">
      <c r="A9" s="3" t="s">
        <v>14</v>
      </c>
      <c r="B9" s="36">
        <v>13.623416100149662</v>
      </c>
      <c r="C9" s="37">
        <v>12.605</v>
      </c>
      <c r="D9" s="38">
        <v>12.069944243798645</v>
      </c>
      <c r="E9" s="39">
        <v>10.119045431586166</v>
      </c>
      <c r="F9" s="5"/>
      <c r="G9" s="18"/>
      <c r="H9" s="19"/>
      <c r="I9" s="20"/>
      <c r="J9" s="4"/>
      <c r="K9" s="4"/>
      <c r="L9" s="4"/>
    </row>
    <row r="10" spans="1:12" ht="16.2" thickBot="1" x14ac:dyDescent="0.35">
      <c r="A10" s="3" t="s">
        <v>15</v>
      </c>
      <c r="B10" s="36">
        <v>9.368637067016504</v>
      </c>
      <c r="C10" s="37">
        <v>7.9145980199999997</v>
      </c>
      <c r="D10" s="38">
        <v>8.0839670003662416</v>
      </c>
      <c r="E10" s="39">
        <v>6.7192729607656654</v>
      </c>
      <c r="F10" s="5"/>
      <c r="G10" s="18"/>
      <c r="H10" s="19"/>
      <c r="I10" s="20"/>
      <c r="J10" s="4"/>
      <c r="K10" s="4"/>
      <c r="L10" s="4"/>
    </row>
    <row r="11" spans="1:12" ht="16.2" thickBot="1" x14ac:dyDescent="0.35">
      <c r="A11" s="3" t="s">
        <v>16</v>
      </c>
      <c r="B11" s="36">
        <v>5.8907748064425141</v>
      </c>
      <c r="C11" s="37">
        <v>4.038000737</v>
      </c>
      <c r="D11" s="38">
        <v>4.48419281852137</v>
      </c>
      <c r="E11" s="39">
        <v>3.6275817918094675</v>
      </c>
      <c r="F11" s="5"/>
      <c r="G11" s="18"/>
      <c r="H11" s="19"/>
      <c r="I11" s="20"/>
      <c r="J11" s="5"/>
      <c r="K11" s="5"/>
      <c r="L11" s="5"/>
    </row>
    <row r="12" spans="1:12" ht="16.2" thickBot="1" x14ac:dyDescent="0.35">
      <c r="A12" s="3" t="s">
        <v>27</v>
      </c>
      <c r="B12" s="40">
        <v>2.9008607930000001</v>
      </c>
      <c r="C12" s="23">
        <v>2.9013417000000001</v>
      </c>
      <c r="D12" s="23">
        <v>2.910799763</v>
      </c>
      <c r="E12" s="41">
        <v>2.9129230829999999</v>
      </c>
      <c r="F12" s="22"/>
      <c r="G12" s="23"/>
      <c r="H12" s="24"/>
      <c r="I12" s="25"/>
      <c r="J12" s="22"/>
      <c r="K12" s="22"/>
      <c r="L12" s="22"/>
    </row>
    <row r="13" spans="1:12" ht="16.2" thickBot="1" x14ac:dyDescent="0.35">
      <c r="A13" s="3" t="s">
        <v>28</v>
      </c>
      <c r="B13" s="42">
        <v>48.71</v>
      </c>
      <c r="C13" s="43">
        <v>48.29</v>
      </c>
      <c r="D13" s="43">
        <v>49.53</v>
      </c>
      <c r="E13" s="44">
        <v>48.5</v>
      </c>
      <c r="F13" s="27"/>
      <c r="G13" s="28"/>
      <c r="H13" s="29"/>
      <c r="I13" s="30"/>
      <c r="J13" s="27"/>
      <c r="K13" s="27"/>
      <c r="L13" s="27"/>
    </row>
    <row r="14" spans="1:12" ht="16.2" thickBot="1" x14ac:dyDescent="0.35">
      <c r="A14" s="3" t="s">
        <v>31</v>
      </c>
      <c r="B14" s="48">
        <v>242.5</v>
      </c>
      <c r="C14" s="34">
        <v>244.57499999999999</v>
      </c>
      <c r="D14" s="34">
        <v>272.625</v>
      </c>
      <c r="E14" s="35">
        <v>337.22500000000002</v>
      </c>
      <c r="F14" s="32"/>
      <c r="G14" s="33"/>
      <c r="H14" s="34"/>
      <c r="I14" s="35"/>
      <c r="J14" s="6"/>
      <c r="K14" s="6"/>
      <c r="L14" s="6"/>
    </row>
    <row r="15" spans="1:12" x14ac:dyDescent="0.3">
      <c r="A15" s="3" t="s">
        <v>32</v>
      </c>
      <c r="B15" s="7">
        <f>B14</f>
        <v>242.5</v>
      </c>
      <c r="C15" s="8">
        <f>($B$17+(C3-AVERAGE(B3:C3))*$B$18+(C4-AVERAGE(B4:C4))*$B$19+(C5-AVERAGE(B5:C5))*$B$20+(C6-AVERAGE(B6:C6))*$B$21+(C7-AVERAGE(B7:C7))*$B$22+(C8-AVERAGE(B8:C8))*$B$23
+(C9-AVERAGE(B9:C9))*$B$24+(C10-AVERAGE(B10:C10))*$B$25+(C11-AVERAGE(B11:C11))*$B$26+(C12-AVERAGE(B12:C12))*$B$27+(C13-AVERAGE(B13:C13))*$B$28)*2+B14</f>
        <v>253.29803029909482</v>
      </c>
      <c r="D15" s="9">
        <f>(($B$17+(D3-AVERAGE(B3:D3))*$B$18+(D4-AVERAGE(B4:D4))*$B$19+(D5-AVERAGE(B5:D5))*$B$20+(D6-AVERAGE(B6:D6))*$B$21+(D7-AVERAGE(B7:D7))*$B$22+(D8-AVERAGE(B8:D8))*$B$23
+(D9-AVERAGE(B9:D9))*$B$24+(D10-AVERAGE(B10:D10))*$B$25+(D11-AVERAGE(B11:D11))*$B$26+(D12-AVERAGE(B12:D12))*$B$27+(D13-AVERAGE(B13:D13))*$B$28)*3+C14+B14)/2</f>
        <v>261.22473518061798</v>
      </c>
      <c r="E15" s="11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293.85887079703775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-9585.5479602838968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-9246.0030418725401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-9019.6397629316361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-8857.9517065452765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-8736.6856642555049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-8642.3676313634624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-8566.9132050498283</v>
      </c>
    </row>
    <row r="17" spans="1:2" x14ac:dyDescent="0.3">
      <c r="A17" s="2" t="s">
        <v>19</v>
      </c>
      <c r="B17" s="2">
        <v>-0.13</v>
      </c>
    </row>
    <row r="18" spans="1:2" x14ac:dyDescent="0.3">
      <c r="A18" s="3" t="s">
        <v>8</v>
      </c>
      <c r="B18" s="2">
        <v>-1.9</v>
      </c>
    </row>
    <row r="19" spans="1:2" x14ac:dyDescent="0.3">
      <c r="A19" s="3" t="s">
        <v>9</v>
      </c>
      <c r="B19" s="2">
        <v>-3.18</v>
      </c>
    </row>
    <row r="20" spans="1:2" x14ac:dyDescent="0.3">
      <c r="A20" s="3" t="s">
        <v>10</v>
      </c>
      <c r="B20" s="2">
        <v>29.73</v>
      </c>
    </row>
    <row r="21" spans="1:2" x14ac:dyDescent="0.3">
      <c r="A21" s="3" t="s">
        <v>11</v>
      </c>
      <c r="B21" s="2">
        <v>-47.35</v>
      </c>
    </row>
    <row r="22" spans="1:2" x14ac:dyDescent="0.3">
      <c r="A22" s="3" t="s">
        <v>12</v>
      </c>
      <c r="B22" s="2">
        <v>26.1</v>
      </c>
    </row>
    <row r="23" spans="1:2" x14ac:dyDescent="0.3">
      <c r="A23" s="3" t="s">
        <v>13</v>
      </c>
      <c r="B23" s="2">
        <v>2.2999999999999998</v>
      </c>
    </row>
    <row r="24" spans="1:2" x14ac:dyDescent="0.3">
      <c r="A24" s="3" t="s">
        <v>14</v>
      </c>
      <c r="B24" s="2">
        <v>-16</v>
      </c>
    </row>
    <row r="25" spans="1:2" x14ac:dyDescent="0.3">
      <c r="A25" s="3" t="s">
        <v>15</v>
      </c>
      <c r="B25" s="2">
        <v>10.3</v>
      </c>
    </row>
    <row r="26" spans="1:2" x14ac:dyDescent="0.3">
      <c r="A26" s="3" t="s">
        <v>16</v>
      </c>
      <c r="B26" s="2">
        <v>-6.7</v>
      </c>
    </row>
    <row r="27" spans="1:2" x14ac:dyDescent="0.3">
      <c r="A27" s="3" t="s">
        <v>27</v>
      </c>
      <c r="B27" s="2">
        <v>2726</v>
      </c>
    </row>
    <row r="28" spans="1:2" x14ac:dyDescent="0.3">
      <c r="A28" s="3" t="s">
        <v>28</v>
      </c>
      <c r="B28" s="2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35E1E-B895-43D5-9C2B-3085A358ABED}">
  <sheetPr codeName="Sheet7"/>
  <dimension ref="A1:L28"/>
  <sheetViews>
    <sheetView topLeftCell="A3" workbookViewId="0">
      <selection activeCell="L28" sqref="L28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5" width="10.44140625" style="2" bestFit="1" customWidth="1"/>
    <col min="6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/>
      <c r="F1" s="1"/>
      <c r="G1" s="1"/>
      <c r="H1" s="1"/>
      <c r="I1" s="1"/>
      <c r="J1" s="1"/>
      <c r="K1" s="1"/>
      <c r="L1" s="1"/>
    </row>
    <row r="2" spans="1:12" ht="16.2" thickBot="1" x14ac:dyDescent="0.35">
      <c r="A2" s="3" t="s">
        <v>7</v>
      </c>
      <c r="B2">
        <v>100</v>
      </c>
      <c r="C2">
        <v>100</v>
      </c>
      <c r="D2">
        <v>100</v>
      </c>
      <c r="E2"/>
      <c r="F2" s="3"/>
      <c r="G2" s="3"/>
      <c r="H2" s="3"/>
      <c r="I2" s="3"/>
      <c r="J2" s="3"/>
      <c r="K2" s="3"/>
      <c r="L2" s="3"/>
    </row>
    <row r="3" spans="1:12" ht="16.2" thickBot="1" x14ac:dyDescent="0.35">
      <c r="A3" s="3" t="s">
        <v>8</v>
      </c>
      <c r="B3" s="36">
        <v>93.521804799167953</v>
      </c>
      <c r="C3" s="38">
        <v>92.818457891649047</v>
      </c>
      <c r="D3" s="39">
        <v>92.966530924810925</v>
      </c>
      <c r="E3" s="49"/>
      <c r="F3" s="5"/>
      <c r="G3" s="18"/>
      <c r="H3" s="19"/>
      <c r="I3" s="20"/>
      <c r="J3" s="4"/>
      <c r="K3" s="4"/>
      <c r="L3" s="4"/>
    </row>
    <row r="4" spans="1:12" ht="16.2" thickBot="1" x14ac:dyDescent="0.35">
      <c r="A4" s="3" t="s">
        <v>9</v>
      </c>
      <c r="B4" s="36">
        <v>73.962955557483113</v>
      </c>
      <c r="C4" s="38">
        <v>71.293383116147268</v>
      </c>
      <c r="D4" s="39">
        <v>71.58927806129806</v>
      </c>
      <c r="E4" s="49"/>
      <c r="F4" s="5"/>
      <c r="G4" s="18"/>
      <c r="H4" s="19"/>
      <c r="I4" s="20"/>
      <c r="J4" s="4"/>
      <c r="K4" s="4"/>
      <c r="L4" s="4"/>
    </row>
    <row r="5" spans="1:12" ht="16.2" thickBot="1" x14ac:dyDescent="0.35">
      <c r="A5" s="3" t="s">
        <v>10</v>
      </c>
      <c r="B5" s="36">
        <v>55.01142935761618</v>
      </c>
      <c r="C5" s="38">
        <v>53.972162395858625</v>
      </c>
      <c r="D5" s="39">
        <v>48.32581812087853</v>
      </c>
      <c r="E5" s="49"/>
      <c r="F5" s="5"/>
      <c r="G5" s="18"/>
      <c r="H5" s="19"/>
      <c r="I5" s="20"/>
      <c r="J5" s="4"/>
      <c r="K5" s="4"/>
      <c r="L5" s="4"/>
    </row>
    <row r="6" spans="1:12" ht="16.2" thickBot="1" x14ac:dyDescent="0.35">
      <c r="A6" s="3" t="s">
        <v>11</v>
      </c>
      <c r="B6" s="36">
        <v>38.843449699309161</v>
      </c>
      <c r="C6" s="38">
        <v>37.997908298272307</v>
      </c>
      <c r="D6" s="39">
        <v>32.052176344679644</v>
      </c>
      <c r="E6" s="49"/>
      <c r="F6" s="5"/>
      <c r="G6" s="18"/>
      <c r="H6" s="19"/>
      <c r="I6" s="20"/>
      <c r="J6" s="4"/>
      <c r="K6" s="4"/>
      <c r="L6" s="4"/>
    </row>
    <row r="7" spans="1:12" ht="16.2" thickBot="1" x14ac:dyDescent="0.35">
      <c r="A7" s="3" t="s">
        <v>12</v>
      </c>
      <c r="B7" s="36">
        <v>26.522078115539166</v>
      </c>
      <c r="C7" s="38">
        <v>25.003604249640251</v>
      </c>
      <c r="D7" s="39">
        <v>20.947299434521124</v>
      </c>
      <c r="E7" s="49"/>
      <c r="F7" s="5"/>
      <c r="G7" s="18"/>
      <c r="H7" s="19"/>
      <c r="I7" s="20"/>
      <c r="J7" s="4"/>
      <c r="K7" s="4"/>
      <c r="L7" s="4"/>
    </row>
    <row r="8" spans="1:12" ht="16.2" thickBot="1" x14ac:dyDescent="0.35">
      <c r="A8" s="3" t="s">
        <v>13</v>
      </c>
      <c r="B8" s="36">
        <v>18.964431761477396</v>
      </c>
      <c r="C8" s="38">
        <v>17.198197249372672</v>
      </c>
      <c r="D8" s="39">
        <v>14.423906704104409</v>
      </c>
      <c r="E8" s="49"/>
      <c r="F8" s="5"/>
      <c r="G8" s="18"/>
      <c r="H8" s="19"/>
      <c r="I8" s="20"/>
      <c r="J8" s="4"/>
      <c r="K8" s="4"/>
      <c r="L8" s="4"/>
    </row>
    <row r="9" spans="1:12" ht="16.2" thickBot="1" x14ac:dyDescent="0.35">
      <c r="A9" s="3" t="s">
        <v>14</v>
      </c>
      <c r="B9" s="36">
        <v>13.623416100149662</v>
      </c>
      <c r="C9" s="38">
        <v>12.069944243798645</v>
      </c>
      <c r="D9" s="39">
        <v>10.119045431586166</v>
      </c>
      <c r="E9" s="49"/>
      <c r="F9" s="5"/>
      <c r="G9" s="18"/>
      <c r="H9" s="19"/>
      <c r="I9" s="20"/>
      <c r="J9" s="4"/>
      <c r="K9" s="4"/>
      <c r="L9" s="4"/>
    </row>
    <row r="10" spans="1:12" ht="16.2" thickBot="1" x14ac:dyDescent="0.35">
      <c r="A10" s="3" t="s">
        <v>15</v>
      </c>
      <c r="B10" s="36">
        <v>9.368637067016504</v>
      </c>
      <c r="C10" s="38">
        <v>8.0839670003662416</v>
      </c>
      <c r="D10" s="39">
        <v>6.7192729607656654</v>
      </c>
      <c r="E10" s="49"/>
      <c r="F10" s="5"/>
      <c r="G10" s="18"/>
      <c r="H10" s="19"/>
      <c r="I10" s="20"/>
      <c r="J10" s="4"/>
      <c r="K10" s="4"/>
      <c r="L10" s="4"/>
    </row>
    <row r="11" spans="1:12" ht="16.2" thickBot="1" x14ac:dyDescent="0.35">
      <c r="A11" s="3" t="s">
        <v>16</v>
      </c>
      <c r="B11" s="36">
        <v>5.8907748064425141</v>
      </c>
      <c r="C11" s="38">
        <v>4.48419281852137</v>
      </c>
      <c r="D11" s="39">
        <v>3.6275817918094675</v>
      </c>
      <c r="E11" s="49"/>
      <c r="F11" s="5"/>
      <c r="G11" s="18"/>
      <c r="H11" s="19"/>
      <c r="I11" s="20"/>
      <c r="J11" s="5"/>
      <c r="K11" s="5"/>
      <c r="L11" s="5"/>
    </row>
    <row r="12" spans="1:12" ht="16.2" thickBot="1" x14ac:dyDescent="0.35">
      <c r="A12" s="3" t="s">
        <v>27</v>
      </c>
      <c r="B12" s="40">
        <v>2.9008607930000001</v>
      </c>
      <c r="C12" s="23">
        <v>2.910799763</v>
      </c>
      <c r="D12" s="41">
        <v>2.9129230829999999</v>
      </c>
      <c r="E12" s="50"/>
      <c r="F12" s="22"/>
      <c r="G12" s="23"/>
      <c r="H12" s="24"/>
      <c r="I12" s="25"/>
      <c r="J12" s="22"/>
      <c r="K12" s="22"/>
      <c r="L12" s="22"/>
    </row>
    <row r="13" spans="1:12" ht="16.2" thickBot="1" x14ac:dyDescent="0.35">
      <c r="A13" s="3" t="s">
        <v>28</v>
      </c>
      <c r="B13" s="42">
        <v>48.71</v>
      </c>
      <c r="C13" s="43">
        <v>49.53</v>
      </c>
      <c r="D13" s="44">
        <v>48.5</v>
      </c>
      <c r="E13" s="51"/>
      <c r="F13" s="27"/>
      <c r="G13" s="28"/>
      <c r="H13" s="29"/>
      <c r="I13" s="30"/>
      <c r="J13" s="27"/>
      <c r="K13" s="27"/>
      <c r="L13" s="27"/>
    </row>
    <row r="14" spans="1:12" ht="16.2" thickBot="1" x14ac:dyDescent="0.35">
      <c r="A14" s="3" t="s">
        <v>33</v>
      </c>
      <c r="B14" s="52">
        <v>16.309572727272727</v>
      </c>
      <c r="C14" s="53">
        <v>15.072868</v>
      </c>
      <c r="D14" s="54">
        <v>22.650916666666671</v>
      </c>
      <c r="E14" s="53"/>
      <c r="F14" s="32"/>
      <c r="G14" s="33"/>
      <c r="H14" s="34"/>
      <c r="I14" s="35"/>
      <c r="J14" s="6"/>
      <c r="K14" s="6"/>
      <c r="L14" s="6"/>
    </row>
    <row r="15" spans="1:12" x14ac:dyDescent="0.3">
      <c r="A15" s="3" t="s">
        <v>34</v>
      </c>
      <c r="B15" s="7">
        <f>B14</f>
        <v>16.309572727272727</v>
      </c>
      <c r="C15" s="8">
        <f>($B$17+(C3-AVERAGE(B3:C3))*$B$18+(C4-AVERAGE(B4:C4))*$B$19+(C5-AVERAGE(B5:C5))*$B$20+(C6-AVERAGE(B6:C6))*$B$21+(C7-AVERAGE(B7:C7))*$B$22+(C8-AVERAGE(B8:C8))*$B$23
+(C9-AVERAGE(B9:C9))*$B$24+(C10-AVERAGE(B10:C10))*$B$25+(C11-AVERAGE(B11:C11))*$B$26+(C12-AVERAGE(B12:C12))*$B$27+(C13-AVERAGE(B13:C13))*$B$28)*2+B14</f>
        <v>18.713474347036446</v>
      </c>
      <c r="D15" s="9">
        <f>(($B$17+(D3-AVERAGE(B3:D3))*$B$18+(D4-AVERAGE(B4:D4))*$B$19+(D5-AVERAGE(B5:D5))*$B$20+(D6-AVERAGE(B6:D6))*$B$21+(D7-AVERAGE(B7:D7))*$B$22+(D8-AVERAGE(B8:D8))*$B$23
+(D9-AVERAGE(B9:D9))*$B$24+(D10-AVERAGE(B10:D10))*$B$25+(D11-AVERAGE(B11:D11))*$B$26+(D12-AVERAGE(B12:D12))*$B$27+(D13-AVERAGE(B13:D13))*$B$28)*3+C14+B14)/2</f>
        <v>19.984282889867579</v>
      </c>
      <c r="E15" s="11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-169.43109794176561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-162.21873915752647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-157.891323886983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-155.00638037328733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-152.9457064349333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-151.40020098116779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-150.19814118379458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-149.23649334589601</v>
      </c>
    </row>
    <row r="17" spans="1:2" x14ac:dyDescent="0.3">
      <c r="A17" s="2" t="s">
        <v>19</v>
      </c>
      <c r="B17" s="2">
        <v>1.6E-2</v>
      </c>
    </row>
    <row r="18" spans="1:2" x14ac:dyDescent="0.3">
      <c r="A18" s="3" t="s">
        <v>8</v>
      </c>
      <c r="B18" s="2">
        <v>0.625</v>
      </c>
    </row>
    <row r="19" spans="1:2" x14ac:dyDescent="0.3">
      <c r="A19" s="3" t="s">
        <v>9</v>
      </c>
      <c r="B19" s="2">
        <v>-0.43099999999999999</v>
      </c>
    </row>
    <row r="20" spans="1:2" x14ac:dyDescent="0.3">
      <c r="A20" s="3" t="s">
        <v>10</v>
      </c>
      <c r="B20" s="2">
        <v>4.3999999999999997E-2</v>
      </c>
    </row>
    <row r="21" spans="1:2" x14ac:dyDescent="0.3">
      <c r="A21" s="3" t="s">
        <v>11</v>
      </c>
      <c r="B21" s="2">
        <v>-0.98499999999999999</v>
      </c>
    </row>
    <row r="22" spans="1:2" x14ac:dyDescent="0.3">
      <c r="A22" s="3" t="s">
        <v>12</v>
      </c>
      <c r="B22" s="2">
        <v>-0.18</v>
      </c>
    </row>
    <row r="23" spans="1:2" x14ac:dyDescent="0.3">
      <c r="A23" s="3" t="s">
        <v>13</v>
      </c>
      <c r="B23" s="2">
        <v>3.22</v>
      </c>
    </row>
    <row r="24" spans="1:2" x14ac:dyDescent="0.3">
      <c r="A24" s="3" t="s">
        <v>14</v>
      </c>
      <c r="B24" s="2">
        <v>-4.6100000000000003</v>
      </c>
    </row>
    <row r="25" spans="1:2" x14ac:dyDescent="0.3">
      <c r="A25" s="3" t="s">
        <v>15</v>
      </c>
      <c r="B25" s="2">
        <v>4.34</v>
      </c>
    </row>
    <row r="26" spans="1:2" x14ac:dyDescent="0.3">
      <c r="A26" s="3" t="s">
        <v>16</v>
      </c>
      <c r="B26" s="2">
        <v>-3.01</v>
      </c>
    </row>
    <row r="27" spans="1:2" x14ac:dyDescent="0.3">
      <c r="A27" s="3" t="s">
        <v>27</v>
      </c>
      <c r="B27" s="2">
        <v>44.6</v>
      </c>
    </row>
    <row r="28" spans="1:2" x14ac:dyDescent="0.3">
      <c r="A28" s="3" t="s">
        <v>28</v>
      </c>
      <c r="B28" s="2">
        <v>0.03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59A76-7E37-4BA7-8D82-A11948780D49}">
  <sheetPr codeName="Sheet12"/>
  <dimension ref="A1:L28"/>
  <sheetViews>
    <sheetView tabSelected="1" workbookViewId="0">
      <selection activeCell="C15" sqref="C15"/>
    </sheetView>
  </sheetViews>
  <sheetFormatPr defaultColWidth="8.77734375" defaultRowHeight="15.6" x14ac:dyDescent="0.3"/>
  <cols>
    <col min="1" max="1" width="29" style="2" customWidth="1"/>
    <col min="2" max="3" width="8.77734375" style="2"/>
    <col min="4" max="4" width="12.21875" style="2" bestFit="1" customWidth="1"/>
    <col min="5" max="5" width="10.44140625" style="2" bestFit="1" customWidth="1"/>
    <col min="6" max="8" width="8.77734375" style="2"/>
    <col min="9" max="9" width="9.33203125" style="2" bestFit="1" customWidth="1"/>
    <col min="10" max="16384" width="8.77734375" style="2"/>
  </cols>
  <sheetData>
    <row r="1" spans="1:12" x14ac:dyDescent="0.3">
      <c r="A1" s="1" t="s">
        <v>0</v>
      </c>
      <c r="B1" s="1" t="s">
        <v>1</v>
      </c>
      <c r="C1" s="1" t="s">
        <v>2</v>
      </c>
      <c r="D1" s="1" t="s">
        <v>3</v>
      </c>
      <c r="E1" s="1"/>
      <c r="F1" s="1"/>
      <c r="G1" s="1"/>
      <c r="H1" s="1"/>
      <c r="I1" s="1"/>
      <c r="J1" s="1"/>
      <c r="K1" s="1"/>
      <c r="L1" s="1"/>
    </row>
    <row r="2" spans="1:12" ht="16.2" thickBot="1" x14ac:dyDescent="0.35">
      <c r="A2" s="3" t="s">
        <v>7</v>
      </c>
      <c r="B2">
        <v>100</v>
      </c>
      <c r="C2">
        <v>100</v>
      </c>
      <c r="D2">
        <v>100</v>
      </c>
      <c r="E2"/>
      <c r="F2" s="3"/>
      <c r="G2" s="3"/>
      <c r="H2" s="3"/>
      <c r="I2" s="3"/>
      <c r="J2" s="3"/>
      <c r="K2" s="3"/>
      <c r="L2" s="3"/>
    </row>
    <row r="3" spans="1:12" ht="16.2" thickBot="1" x14ac:dyDescent="0.35">
      <c r="A3" s="3" t="s">
        <v>8</v>
      </c>
      <c r="B3" s="36">
        <v>93.521804799167953</v>
      </c>
      <c r="C3" s="38">
        <v>92.818457891649047</v>
      </c>
      <c r="D3" s="39">
        <v>92.966530924810925</v>
      </c>
      <c r="E3" s="49"/>
      <c r="F3" s="5"/>
      <c r="G3" s="18"/>
      <c r="H3" s="19"/>
      <c r="I3" s="20"/>
      <c r="J3" s="4"/>
      <c r="K3" s="4"/>
      <c r="L3" s="4"/>
    </row>
    <row r="4" spans="1:12" ht="16.2" thickBot="1" x14ac:dyDescent="0.35">
      <c r="A4" s="3" t="s">
        <v>9</v>
      </c>
      <c r="B4" s="36">
        <v>73.962955557483113</v>
      </c>
      <c r="C4" s="38">
        <v>71.293383116147268</v>
      </c>
      <c r="D4" s="39">
        <v>71.58927806129806</v>
      </c>
      <c r="E4" s="49"/>
      <c r="F4" s="5"/>
      <c r="G4" s="18"/>
      <c r="H4" s="19"/>
      <c r="I4" s="20"/>
      <c r="J4" s="4"/>
      <c r="K4" s="4"/>
      <c r="L4" s="4"/>
    </row>
    <row r="5" spans="1:12" ht="16.2" thickBot="1" x14ac:dyDescent="0.35">
      <c r="A5" s="3" t="s">
        <v>10</v>
      </c>
      <c r="B5" s="36">
        <v>55.01142935761618</v>
      </c>
      <c r="C5" s="38">
        <v>53.972162395858625</v>
      </c>
      <c r="D5" s="39">
        <v>48.32581812087853</v>
      </c>
      <c r="E5" s="49"/>
      <c r="F5" s="5"/>
      <c r="G5" s="18"/>
      <c r="H5" s="19"/>
      <c r="I5" s="20"/>
      <c r="J5" s="4"/>
      <c r="K5" s="4"/>
      <c r="L5" s="4"/>
    </row>
    <row r="6" spans="1:12" ht="16.2" thickBot="1" x14ac:dyDescent="0.35">
      <c r="A6" s="3" t="s">
        <v>11</v>
      </c>
      <c r="B6" s="36">
        <v>38.843449699309161</v>
      </c>
      <c r="C6" s="38">
        <v>37.997908298272307</v>
      </c>
      <c r="D6" s="39">
        <v>32.052176344679644</v>
      </c>
      <c r="E6" s="49"/>
      <c r="F6" s="5"/>
      <c r="G6" s="18"/>
      <c r="H6" s="19"/>
      <c r="I6" s="20"/>
      <c r="J6" s="4"/>
      <c r="K6" s="4"/>
      <c r="L6" s="4"/>
    </row>
    <row r="7" spans="1:12" ht="16.2" thickBot="1" x14ac:dyDescent="0.35">
      <c r="A7" s="3" t="s">
        <v>12</v>
      </c>
      <c r="B7" s="36">
        <v>26.522078115539166</v>
      </c>
      <c r="C7" s="38">
        <v>25.003604249640251</v>
      </c>
      <c r="D7" s="39">
        <v>20.947299434521124</v>
      </c>
      <c r="E7" s="49"/>
      <c r="F7" s="5"/>
      <c r="G7" s="18"/>
      <c r="H7" s="19"/>
      <c r="I7" s="20"/>
      <c r="J7" s="4"/>
      <c r="K7" s="4"/>
      <c r="L7" s="4"/>
    </row>
    <row r="8" spans="1:12" ht="16.2" thickBot="1" x14ac:dyDescent="0.35">
      <c r="A8" s="3" t="s">
        <v>13</v>
      </c>
      <c r="B8" s="36">
        <v>18.964431761477396</v>
      </c>
      <c r="C8" s="38">
        <v>17.198197249372672</v>
      </c>
      <c r="D8" s="39">
        <v>14.423906704104409</v>
      </c>
      <c r="E8" s="49"/>
      <c r="F8" s="5"/>
      <c r="G8" s="18"/>
      <c r="H8" s="19"/>
      <c r="I8" s="20"/>
      <c r="J8" s="4"/>
      <c r="K8" s="4"/>
      <c r="L8" s="4"/>
    </row>
    <row r="9" spans="1:12" ht="16.2" thickBot="1" x14ac:dyDescent="0.35">
      <c r="A9" s="3" t="s">
        <v>14</v>
      </c>
      <c r="B9" s="36">
        <v>13.623416100149662</v>
      </c>
      <c r="C9" s="38">
        <v>12.069944243798645</v>
      </c>
      <c r="D9" s="39">
        <v>10.119045431586166</v>
      </c>
      <c r="E9" s="49"/>
      <c r="F9" s="5"/>
      <c r="G9" s="18"/>
      <c r="H9" s="19"/>
      <c r="I9" s="20"/>
      <c r="J9" s="4"/>
      <c r="K9" s="4"/>
      <c r="L9" s="4"/>
    </row>
    <row r="10" spans="1:12" ht="16.2" thickBot="1" x14ac:dyDescent="0.35">
      <c r="A10" s="3" t="s">
        <v>15</v>
      </c>
      <c r="B10" s="36">
        <v>9.368637067016504</v>
      </c>
      <c r="C10" s="38">
        <v>8.0839670003662416</v>
      </c>
      <c r="D10" s="39">
        <v>6.7192729607656654</v>
      </c>
      <c r="E10" s="49"/>
      <c r="F10" s="5"/>
      <c r="G10" s="18"/>
      <c r="H10" s="19"/>
      <c r="I10" s="20"/>
      <c r="J10" s="4"/>
      <c r="K10" s="4"/>
      <c r="L10" s="4"/>
    </row>
    <row r="11" spans="1:12" ht="16.2" thickBot="1" x14ac:dyDescent="0.35">
      <c r="A11" s="3" t="s">
        <v>16</v>
      </c>
      <c r="B11" s="36">
        <v>5.8907748064425141</v>
      </c>
      <c r="C11" s="38">
        <v>4.48419281852137</v>
      </c>
      <c r="D11" s="39">
        <v>3.6275817918094675</v>
      </c>
      <c r="E11" s="49"/>
      <c r="F11" s="5"/>
      <c r="G11" s="18"/>
      <c r="H11" s="19"/>
      <c r="I11" s="20"/>
      <c r="J11" s="5"/>
      <c r="K11" s="5"/>
      <c r="L11" s="5"/>
    </row>
    <row r="12" spans="1:12" ht="16.2" thickBot="1" x14ac:dyDescent="0.35">
      <c r="A12" s="3" t="s">
        <v>27</v>
      </c>
      <c r="B12" s="40">
        <v>2.9008607930000001</v>
      </c>
      <c r="C12" s="23">
        <v>2.910799763</v>
      </c>
      <c r="D12" s="41">
        <v>2.9129230829999999</v>
      </c>
      <c r="E12" s="50"/>
      <c r="F12" s="22"/>
      <c r="G12" s="23"/>
      <c r="H12" s="24"/>
      <c r="I12" s="25"/>
      <c r="J12" s="22"/>
      <c r="K12" s="22"/>
      <c r="L12" s="22"/>
    </row>
    <row r="13" spans="1:12" ht="16.2" thickBot="1" x14ac:dyDescent="0.35">
      <c r="A13" s="3" t="s">
        <v>28</v>
      </c>
      <c r="B13" s="42">
        <v>48.71</v>
      </c>
      <c r="C13" s="43">
        <v>49.53</v>
      </c>
      <c r="D13" s="44">
        <v>48.5</v>
      </c>
      <c r="E13" s="51"/>
      <c r="F13" s="27"/>
      <c r="G13" s="28"/>
      <c r="H13" s="29"/>
      <c r="I13" s="30"/>
      <c r="J13" s="27"/>
      <c r="K13" s="27"/>
      <c r="L13" s="27"/>
    </row>
    <row r="14" spans="1:12" ht="16.2" thickBot="1" x14ac:dyDescent="0.35">
      <c r="A14" s="3" t="s">
        <v>33</v>
      </c>
      <c r="B14" s="52">
        <v>16.309572727272727</v>
      </c>
      <c r="C14" s="53">
        <v>15.072868</v>
      </c>
      <c r="D14" s="54">
        <v>22.650916666666671</v>
      </c>
      <c r="E14" s="53"/>
      <c r="F14" s="32"/>
      <c r="G14" s="33"/>
      <c r="H14" s="34"/>
      <c r="I14" s="35"/>
      <c r="J14" s="6"/>
      <c r="K14" s="6"/>
      <c r="L14" s="6"/>
    </row>
    <row r="15" spans="1:12" x14ac:dyDescent="0.3">
      <c r="A15" s="3" t="s">
        <v>34</v>
      </c>
      <c r="B15" s="7">
        <f>B14</f>
        <v>16.309572727272727</v>
      </c>
      <c r="C15" s="8">
        <f>($B$17+(C3-AVERAGE(B3:C3))*$B$18+(C4-AVERAGE(B4:C4))*$B$19+(C5-AVERAGE(B5:C5))*$B$20+(C6-AVERAGE(B6:C6))*$B$21+(C7-AVERAGE(B7:C7))*$B$22+(C8-AVERAGE(B8:C8))*$B$23
+(C9-AVERAGE(B9:C9))*$B$24+(C10-AVERAGE(B10:C10))*$B$25+(C11-AVERAGE(B11:C11))*$B$26+(C12-AVERAGE(B12:C12))*$B$27+(C13-AVERAGE(B13:C13))*$B$28)*2+B14</f>
        <v>18.709834435679465</v>
      </c>
      <c r="D15" s="9">
        <f>(($B$17+(D3-AVERAGE(B3:D3))*$B$18+(D4-AVERAGE(B4:D4))*$B$19+(D5-AVERAGE(B5:D5))*$B$20+(D6-AVERAGE(B6:D6))*$B$21+(D7-AVERAGE(B7:D7))*$B$22+(D8-AVERAGE(B8:D8))*$B$23
+(D9-AVERAGE(B9:D9))*$B$24+(D10-AVERAGE(B10:D10))*$B$25+(D11-AVERAGE(B11:D11))*$B$26+(D12-AVERAGE(B12:D12))*$B$27+(D13-AVERAGE(B13:D13))*$B$28)*3+C14+B14)/2</f>
        <v>20.021912037858314</v>
      </c>
      <c r="E15" s="11">
        <f>(($B$17+(E3-AVERAGE(B3:E3))*$B$18+(E4-AVERAGE(B4:E4))*$B$19+(E5-AVERAGE(B5:E5))*$B$20+(E6-AVERAGE(B6:E6))*$B$21+(E7-AVERAGE(B7:E7))*$B$22+(E8-AVERAGE(B8:E8))*$B$23
+(E9-AVERAGE(B9:E9))*$B$24+(E10-AVERAGE(B10:E10))*$B$25+(E11-AVERAGE(B11:E11))*$B$26+(E12-AVERAGE(B12:E12))*$B$27+(E13-AVERAGE(B13:E13))*$B$28)*4+D14+C14+B14)/3</f>
        <v>-172.260558530265</v>
      </c>
      <c r="F15" s="9">
        <f>(($B$17+(F3-AVERAGE(B3:F3))*$B$18+(F4-AVERAGE(B4:F4))*$B$19+(F5-AVERAGE(B5:F5))*$B$20+(F6-AVERAGE(B6:F6))*$B$21+(F7-AVERAGE(B7:F7))*$B$22+(F8-AVERAGE(B8:F8))*$B$23
+(F9-AVERAGE(B9:F9))*$B$24+(F10-AVERAGE(B10:F10))*$B$25+(F11-AVERAGE(B11:F11))*$B$26+(F12-AVERAGE(B12:F12))*$B$27+(F13-AVERAGE(B13:F13))*$B$28)*5+E14+D14+C14+B14)/4</f>
        <v>-164.87135845924465</v>
      </c>
      <c r="G15" s="10">
        <f>(($B$17+(G3-AVERAGE(B3:G3))*$B$18+(G4-AVERAGE(B4:G4))*$B$19+(G5-AVERAGE(B5:G5))*$B$20+(G6-AVERAGE(B6:G6))*$B$21+(G7-AVERAGE(B7:G7))*$B$22+(G8-AVERAGE(B8:G8))*$B$23
+(G9-AVERAGE(B9:G9))*$B$24+(G10-AVERAGE(B10:G10))*$B$25+(G11-AVERAGE(B11:G11))*$B$26+(G12-AVERAGE(B12:G12))*$B$27+(G13-AVERAGE(B13:G13))*$B$28)*6+F14+E14+D14+C14+B14)/5</f>
        <v>-160.43783841663245</v>
      </c>
      <c r="H15" s="9">
        <f>(($B$17+(H3-AVERAGE(B3:H3))*$B$18+(H4-AVERAGE(B4:H4))*$B$19+(H5-AVERAGE(B5:H5))*$B$20+(H6-AVERAGE(B6:H6))*$B$21+(H7-AVERAGE(B7:H7))*$B$22+(H8-AVERAGE(B8:H8))*$B$23
+(H9-AVERAGE(B9:H9))*$B$24+(H10-AVERAGE(B10:H10))*$B$25+(H11-AVERAGE(B11:H11))*$B$26+(H12-AVERAGE(B12:H12))*$B$27+(H13-AVERAGE(B13:H13))*$B$28)*7+G14+F14+E14+D14+C14+B14)/6</f>
        <v>-157.48215838822429</v>
      </c>
      <c r="I15" s="11">
        <f>(($B$17+(I3-AVERAGE(B3:I3))*$B$18+(I4-AVERAGE(B4:I4))*$B$19+(I5-AVERAGE(B5:I5))*$B$20+(I6-AVERAGE(B6:I6))*$B$21+(I7-AVERAGE(B7:I7))*$B$22+(I8-AVERAGE(B8:I8))*$B$23
+(I9-AVERAGE(B9:I9))*$B$24+(I10-AVERAGE(B10:I10))*$B$25+(I11-AVERAGE(B11:I11))*$B$26+(I12-AVERAGE(B12:I12))*$B$27+(I13-AVERAGE(B13:I13))*$B$28)*8+H14+G14+F14+E14+D14+C14+B14)/7</f>
        <v>-155.37095836793279</v>
      </c>
      <c r="J15" s="9">
        <f>(($B$17+(J3-AVERAGE(B3:J3))*$B$18+(J4-AVERAGE(B4:J4))*$B$19+(J5-AVERAGE(B5:J5))*$B$20+(J6-AVERAGE(B6:J6))*$B$21+(J7-AVERAGE(B7:J7))*$B$22+(J8-AVERAGE(B8:J8))*$B$23
+(J9-AVERAGE(B9:J9))*$B$24+(J10-AVERAGE(B10:J10))*$B$25+(J11-AVERAGE(B11:J11))*$B$26+(J12-AVERAGE(B12:J12))*$B$27+(J13-AVERAGE(B13:J13))*$B$28)*9+I14+H14+G14+F14+E14+D14+C14+B14)/8</f>
        <v>-153.78755835271411</v>
      </c>
      <c r="K15" s="9">
        <f>(($B$17+(K3-AVERAGE(B3:K3))*$B$18+(K4-AVERAGE(B4:K4))*$B$19+(K5-AVERAGE(B5:K5))*$B$20+(K6-AVERAGE(B6:K6))*$B$21+(K7-AVERAGE(B7:K7))*$B$22+(K8-AVERAGE(B8:K8))*$B$23
+(K9-AVERAGE(B9:K9))*$B$24+(K10-AVERAGE(B10:K10))*$B$25+(K11-AVERAGE(B11:K11))*$B$26+(K12-AVERAGE(B12:K12))*$B$27+(K13-AVERAGE(B13:K13))*$B$28)*10+J14+I14+H14+G14+F14+E14+D14+C14+B14)/9</f>
        <v>-152.55602500754406</v>
      </c>
      <c r="L15" s="9">
        <f>(($B$17+(L3-AVERAGE(B3:L3))*$B$18+(L4-AVERAGE(B4:L4))*$B$19+(L5-AVERAGE(B5:L5))*$B$20+(L6-AVERAGE(B6:L6))*$B$21+(L7-AVERAGE(B7:L7))*$B$22+(L8-AVERAGE(B8:L8))*$B$23
+(L9-AVERAGE(B9:L9))*$B$24+(L10-AVERAGE(B10:L10))*$B$25+(L11-AVERAGE(B11:L11))*$B$26+(L12-AVERAGE(B12:L12))*$B$27+(L13-AVERAGE(B13:L13))*$B$28)*11+K14+J14+I14+H14+G14+F14+E14+D14+C14+B14)/10</f>
        <v>-151.57079833140804</v>
      </c>
    </row>
    <row r="17" spans="1:2" x14ac:dyDescent="0.3">
      <c r="A17" s="2" t="s">
        <v>19</v>
      </c>
      <c r="B17" s="2">
        <v>1.7000000000000001E-2</v>
      </c>
    </row>
    <row r="18" spans="1:2" x14ac:dyDescent="0.3">
      <c r="A18" s="3" t="s">
        <v>8</v>
      </c>
      <c r="B18" s="2">
        <v>0.63700000000000001</v>
      </c>
    </row>
    <row r="19" spans="1:2" x14ac:dyDescent="0.3">
      <c r="A19" s="3" t="s">
        <v>9</v>
      </c>
      <c r="B19" s="2">
        <v>-0.434</v>
      </c>
    </row>
    <row r="20" spans="1:2" x14ac:dyDescent="0.3">
      <c r="A20" s="3" t="s">
        <v>10</v>
      </c>
      <c r="B20" s="2">
        <v>4.9000000000000002E-2</v>
      </c>
    </row>
    <row r="21" spans="1:2" x14ac:dyDescent="0.3">
      <c r="A21" s="3" t="s">
        <v>11</v>
      </c>
      <c r="B21" s="2">
        <v>-0.98599999999999999</v>
      </c>
    </row>
    <row r="22" spans="1:2" x14ac:dyDescent="0.3">
      <c r="A22" s="3" t="s">
        <v>12</v>
      </c>
      <c r="B22" s="2">
        <v>-0.2</v>
      </c>
    </row>
    <row r="23" spans="1:2" x14ac:dyDescent="0.3">
      <c r="A23" s="3" t="s">
        <v>13</v>
      </c>
      <c r="B23" s="2">
        <v>3.25</v>
      </c>
    </row>
    <row r="24" spans="1:2" x14ac:dyDescent="0.3">
      <c r="A24" s="3" t="s">
        <v>14</v>
      </c>
      <c r="B24" s="2">
        <v>-4.6399999999999997</v>
      </c>
    </row>
    <row r="25" spans="1:2" x14ac:dyDescent="0.3">
      <c r="A25" s="3" t="s">
        <v>15</v>
      </c>
      <c r="B25" s="2">
        <v>4.38</v>
      </c>
    </row>
    <row r="26" spans="1:2" x14ac:dyDescent="0.3">
      <c r="A26" s="3" t="s">
        <v>16</v>
      </c>
      <c r="B26" s="2">
        <v>-3.04</v>
      </c>
    </row>
    <row r="27" spans="1:2" x14ac:dyDescent="0.3">
      <c r="A27" s="3" t="s">
        <v>27</v>
      </c>
      <c r="B27" s="2">
        <v>45.5</v>
      </c>
    </row>
    <row r="28" spans="1:2" x14ac:dyDescent="0.3">
      <c r="A28" s="3" t="s">
        <v>28</v>
      </c>
      <c r="B28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VMA-First Model</vt:lpstr>
      <vt:lpstr>VMA-First Model (No FAA))</vt:lpstr>
      <vt:lpstr>VMA-Second Model</vt:lpstr>
      <vt:lpstr>VMA-Second Model (No FAA)</vt:lpstr>
      <vt:lpstr>Rut Depth</vt:lpstr>
      <vt:lpstr>Rut Depth (No FAA)</vt:lpstr>
      <vt:lpstr>CTIndex</vt:lpstr>
      <vt:lpstr>CTIndex (No FAA)</vt:lpstr>
      <vt:lpstr>IFIT</vt:lpstr>
      <vt:lpstr>IFIT (No FAA)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Tran</dc:creator>
  <cp:lastModifiedBy>Trung Tran</cp:lastModifiedBy>
  <dcterms:created xsi:type="dcterms:W3CDTF">2025-11-21T18:56:04Z</dcterms:created>
  <dcterms:modified xsi:type="dcterms:W3CDTF">2025-12-11T21:04:37Z</dcterms:modified>
</cp:coreProperties>
</file>